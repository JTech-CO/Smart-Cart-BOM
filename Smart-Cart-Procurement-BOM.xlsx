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2bda053c9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·설정" sheetId="1" r:id="Ra5226d1dbf29458e"/>
    <x:sheet xmlns:r="http://schemas.openxmlformats.org/officeDocument/2006/relationships" name="구매BOM" sheetId="2" r:id="Rbf5ef4d3d26f46fc"/>
    <x:sheet xmlns:r="http://schemas.openxmlformats.org/officeDocument/2006/relationships" name="사양·근거" sheetId="3" r:id="R81ecfa9bdb3b4014"/>
    <x:sheet xmlns:r="http://schemas.openxmlformats.org/officeDocument/2006/relationships" name="국내구매링크" sheetId="4" r:id="R84512de3b4674286"/>
    <x:sheet xmlns:r="http://schemas.openxmlformats.org/officeDocument/2006/relationships" name="수량대조" sheetId="5" r:id="R0011dfc9cf8943c0"/>
    <x:sheet xmlns:r="http://schemas.openxmlformats.org/officeDocument/2006/relationships" name="원본46대조" sheetId="6" r:id="Rff8fa36a33b64f89"/>
    <x:sheet xmlns:r="http://schemas.openxmlformats.org/officeDocument/2006/relationships" name="발주보류" sheetId="7" r:id="R01a70b43a720449a"/>
    <x:sheet xmlns:r="http://schemas.openxmlformats.org/officeDocument/2006/relationships" name="출처·검증" sheetId="8" r:id="R5c4164f4e73c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&quot;-&quot;"/>
    <x:numFmt numFmtId="201" formatCode="#,##0&quot;원&quot;;[Red](#,##0)&quot;원&quot;;&quot;-&quot;"/>
    <x:numFmt numFmtId="202" formatCode="#,##0&quot;원&quot;"/>
    <x:numFmt numFmtId="203" formatCode="yyyy-mm-dd"/>
  </x:numFmts>
  <x:fonts count="14">
    <x:font>
      <x:sz val="11"/>
      <x:name val="Carlito"/>
    </x:font>
    <x:font>
      <x:sz val="10"/>
      <x:color rgb="FF142F40"/>
      <x:name val="맑은 고딕"/>
    </x:font>
    <x:font>
      <x:b/>
      <x:sz val="20"/>
      <x:color rgb="FFFFFFFF"/>
      <x:name val="맑은 고딕"/>
    </x:font>
    <x:font>
      <x:sz val="10"/>
      <x:color rgb="FF526F7E"/>
      <x:name val="맑은 고딕"/>
    </x:font>
    <x:font>
      <x:b/>
      <x:sz val="10"/>
      <x:color rgb="FFFFFFFF"/>
      <x:name val="맑은 고딕"/>
    </x:font>
    <x:font>
      <x:sz val="10"/>
      <x:color rgb="FF185ABD"/>
      <x:name val="맑은 고딕"/>
    </x:font>
    <x:font>
      <x:sz val="11"/>
      <x:color rgb="FF142F40"/>
      <x:name val="맑은 고딕"/>
    </x:font>
    <x:font>
      <x:b/>
      <x:sz val="22"/>
      <x:color rgb="FFFFFFFF"/>
      <x:name val="맑은 고딕"/>
    </x:font>
    <x:font>
      <x:sz val="10"/>
      <x:color rgb="FF55707D"/>
      <x:name val="맑은 고딕"/>
    </x:font>
    <x:font>
      <x:b/>
      <x:sz val="11"/>
      <x:color rgb="FFFFFFFF"/>
      <x:name val="맑은 고딕"/>
    </x:font>
    <x:font>
      <x:b/>
      <x:sz val="11"/>
      <x:color rgb="FF185ABD"/>
      <x:name val="맑은 고딕"/>
    </x:font>
    <x:font>
      <x:b/>
      <x:sz val="11"/>
      <x:color rgb="FF153D52"/>
      <x:name val="맑은 고딕"/>
    </x:font>
    <x:font>
      <x:sz val="10"/>
      <x:color rgb="FF9A4C00"/>
      <x:name val="맑은 고딕"/>
    </x:font>
    <x:font>
      <x:sz val="11"/>
      <x:color rgb="FF9A4C00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153D52"/>
      </x:patternFill>
    </x:fill>
    <x:fill>
      <x:patternFill patternType="solid">
        <x:fgColor rgb="FF086B68"/>
      </x:patternFill>
    </x:fill>
    <x:fill>
      <x:patternFill patternType="solid">
        <x:fgColor rgb="FFEFF6FF"/>
      </x:patternFill>
    </x:fill>
    <x:fill>
      <x:patternFill patternType="solid">
        <x:fgColor rgb="FFEDF5F1"/>
      </x:patternFill>
    </x:fill>
    <x:fill>
      <x:patternFill patternType="solid">
        <x:fgColor rgb="FFDBEAFE"/>
      </x:patternFill>
    </x:fill>
    <x:fill>
      <x:patternFill patternType="solid">
        <x:fgColor rgb="FFF2F6F8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horizontal="right"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horizontal="right" vertical="center" wrapText="1"/>
    </x:xf>
    <x:xf numFmtId="202" fontId="11" fillId="7" borderId="0" xfId="0" applyNumberFormat="1" applyFont="1" applyFill="1" applyBorder="1" applyAlignment="1">
      <x:alignment horizontal="right" vertical="center" wrapText="1"/>
    </x:xf>
    <x:xf numFmtId="202" fontId="11" fillId="7" borderId="1" xfId="0" applyNumberFormat="1" applyFont="1" applyFill="1" applyBorder="1" applyAlignment="1">
      <x:alignment horizontal="right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6B7280"/>
      </x:font>
      <x:fill>
        <x:patternFill patternType="solid">
          <x:bgColor rgb="FFE5E7EB"/>
        </x:patternFill>
      </x:fill>
    </x:dxf>
    <x:dxf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35ac915094933" /><Relationship Type="http://schemas.openxmlformats.org/officeDocument/2006/relationships/theme" Target="/xl/theme/theme1.xml" Id="R909cd9ed75ae42bc" /><Relationship Type="http://schemas.openxmlformats.org/officeDocument/2006/relationships/sharedStrings" Target="/xl/sharedStrings.xml" Id="R195ba6f7555e4dd2" /><Relationship Type="http://schemas.openxmlformats.org/officeDocument/2006/relationships/worksheet" Target="/xl/worksheets/sheet1.xml" Id="Ra5226d1dbf29458e" /><Relationship Type="http://schemas.openxmlformats.org/officeDocument/2006/relationships/worksheet" Target="/xl/worksheets/sheet2.xml" Id="Rbf5ef4d3d26f46fc" /><Relationship Type="http://schemas.openxmlformats.org/officeDocument/2006/relationships/worksheet" Target="/xl/worksheets/sheet3.xml" Id="R81ecfa9bdb3b4014" /><Relationship Type="http://schemas.openxmlformats.org/officeDocument/2006/relationships/worksheet" Target="/xl/worksheets/sheet4.xml" Id="R84512de3b4674286" /><Relationship Type="http://schemas.openxmlformats.org/officeDocument/2006/relationships/worksheet" Target="/xl/worksheets/sheet5.xml" Id="R0011dfc9cf8943c0" /><Relationship Type="http://schemas.openxmlformats.org/officeDocument/2006/relationships/worksheet" Target="/xl/worksheets/sheet6.xml" Id="Rff8fa36a33b64f89" /><Relationship Type="http://schemas.openxmlformats.org/officeDocument/2006/relationships/worksheet" Target="/xl/worksheets/sheet7.xml" Id="R01a70b43a720449a" /><Relationship Type="http://schemas.openxmlformats.org/officeDocument/2006/relationships/worksheet" Target="/xl/worksheets/sheet8.xml" Id="R5c4164f4e73c43f0" /></Relationships>
</file>

<file path=xl/tables/table1.xml><?xml version="1.0" encoding="utf-8"?>
<x:table xmlns:x="http://schemas.openxmlformats.org/spreadsheetml/2006/main" id="1" name="MasterBOM" displayName="MasterBOM" ref="A5:T126" headerRowCount="1" totalsRowCount="0" totalsRowShown="0">
  <x:tableColumns count="20">
    <x:tableColumn id="1" name="ID"/>
    <x:tableColumn id="2" name="분류"/>
    <x:tableColumn id="3" name="구성"/>
    <x:tableColumn id="4" name="부품"/>
    <x:tableColumn id="5" name="필요 수량"/>
    <x:tableColumn id="6" name="예비 수량"/>
    <x:tableColumn id="7" name="단위"/>
    <x:tableColumn id="8" name="포장당 수량"/>
    <x:tableColumn id="9" name="보유 수량"/>
    <x:tableColumn id="10" name="동봉 차감"/>
    <x:tableColumn id="11" name="선택"/>
    <x:tableColumn id="12" name="순소요"/>
    <x:tableColumn id="13" name="구매 포장"/>
    <x:tableColumn id="14" name="입고 수량"/>
    <x:tableColumn id="15" name="예상 잔여"/>
    <x:tableColumn id="16" name="포장 단가(원)"/>
    <x:tableColumn id="17" name="표시가 소계(원)"/>
    <x:tableColumn id="18" name="발주 판정"/>
    <x:tableColumn id="19" name="구매 코드"/>
    <x:tableColumn id="20" name="구매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fications" displayName="Specifications" ref="A5:H126" headerRowCount="1" totalsRowCount="0" totalsRowShown="0">
  <x:tableColumns count="8">
    <x:tableColumn id="1" name="ID"/>
    <x:tableColumn id="2" name="원본 참조"/>
    <x:tableColumn id="3" name="부품"/>
    <x:tableColumn id="4" name="규격 / 지정 모델"/>
    <x:tableColumn id="5" name="수량 근거"/>
    <x:tableColumn id="6" name="동봉·호환·추가 확인"/>
    <x:tableColumn id="7" name="발주 판정"/>
    <x:tableColumn id="8" name="원본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mesticOffers" displayName="DomesticOffers" ref="A5:L21" headerRowCount="1" totalsRowCount="0" totalsRowShown="0">
  <x:tableColumns count="12">
    <x:tableColumn id="1" name="코드"/>
    <x:tableColumn id="2" name="판매처"/>
    <x:tableColumn id="3" name="실제 상품"/>
    <x:tableColumn id="4" name="포장 수량"/>
    <x:tableColumn id="5" name="표시가(원)"/>
    <x:tableColumn id="6" name="VAT 표기"/>
    <x:tableColumn id="7" name="등급"/>
    <x:tableColumn id="8" name="표시 국내재고"/>
    <x:tableColumn id="9" name="국내 출고 근거"/>
    <x:tableColumn id="10" name="구매 조건"/>
    <x:tableColumn id="11" name="조회일"/>
    <x:tableColumn id="12" name="구매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antityReview" displayName="QuantityReview" ref="A5:F17" headerRowCount="1" totalsRowCount="0" totalsRowShown="0">
  <x:tableColumns count="6">
    <x:tableColumn id="1" name="ID"/>
    <x:tableColumn id="2" name="대상"/>
    <x:tableColumn id="3" name="원본 상태"/>
    <x:tableColumn id="4" name="통합 수량 / 처리"/>
    <x:tableColumn id="5" name="관련 BOM"/>
    <x:tableColumn id="6" name="결정·검증 사항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References" displayName="SourceReferences" ref="A5:H51" headerRowCount="1" totalsRowCount="0" totalsRowShown="0">
  <x:tableColumns count="8">
    <x:tableColumn id="1" name="원본 Ref"/>
    <x:tableColumn id="2" name="통합 ID"/>
    <x:tableColumn id="3" name="원본 수량"/>
    <x:tableColumn id="4" name="원본 부품"/>
    <x:tableColumn id="5" name="원본 규격"/>
    <x:tableColumn id="6" name="원본 상태"/>
    <x:tableColumn id="7" name="원본 주의사항"/>
    <x:tableColumn id="8" name="원본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penProcurement" displayName="OpenProcurement" ref="A5:H112" headerRowCount="1" totalsRowCount="0" totalsRowShown="0">
  <x:tableColumns count="8">
    <x:tableColumn id="1" name="ID"/>
    <x:tableColumn id="2" name="부품"/>
    <x:tableColumn id="3" name="구성"/>
    <x:tableColumn id="4" name="필요 수량"/>
    <x:tableColumn id="5" name="규격"/>
    <x:tableColumn id="6" name="보류 사유"/>
    <x:tableColumn id="7" name="해소할 사항"/>
    <x:tableColumn id="8" name="원본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Log" displayName="EvidenceLog" ref="A5:G38" headerRowCount="1" totalsRowCount="0" totalsRowShown="0">
  <x:tableColumns count="7">
    <x:tableColumn id="1" name="근거 ID"/>
    <x:tableColumn id="2" name="대상"/>
    <x:tableColumn id="3" name="근거 종류"/>
    <x:tableColumn id="4" name="값 / 식별자"/>
    <x:tableColumn id="5" name="출처 URL"/>
    <x:tableColumn id="6" name="확인일"/>
    <x:tableColumn id="7" name="제약 / 검증 내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f9cbc583ce41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e2c30458b242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97392b978146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ea1820833b41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216e26f20c45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c76c9d9d754b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80d202f6774a7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7" customHeight="1">
      <x:c r="A1" s="45" t="str">
        <x:v>SMART CART | 통합 구매 BOM C1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27" customHeight="1">
      <x:c r="A2" s="45"/>
      <x:c r="B2" s="45"/>
      <x:c r="C2" s="45"/>
      <x:c r="D2" s="45"/>
      <x:c r="E2" s="45"/>
      <x:c r="F2" s="45"/>
      <x:c r="G2" s="45"/>
      <x:c r="H2" s="45"/>
      <x:c r="I2" s="45"/>
      <x:c r="J2" s="45"/>
    </x:row>
    <x:row r="3" ht="29" customHeight="1">
      <x:c r="A3" s="48" t="str">
        <x:v>기준일 2026-09-13 · 1대 기준 · 국내 출고 조건부 · 실주문/재고예약 미수행</x:v>
      </x:c>
      <x:c r="B3" s="48"/>
      <x:c r="C3" s="48"/>
      <x:c r="D3" s="48"/>
      <x:c r="E3" s="48"/>
      <x:c r="F3" s="48"/>
      <x:c r="G3" s="48"/>
      <x:c r="H3" s="48"/>
      <x:c r="I3" s="48"/>
      <x:c r="J3" s="48"/>
    </x:row>
    <x:row r="4" ht="24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</x:row>
    <x:row r="5" ht="26" customHeight="1">
      <x:c r="A5" s="51" t="str">
        <x:v>구매 계산 설정</x:v>
      </x:c>
      <x:c r="B5" s="51"/>
      <x:c r="C5" s="51"/>
      <x:c r="D5" s="51"/>
      <x:c r="E5" s="40"/>
      <x:c r="F5" s="51" t="str">
        <x:v>범위와 부분 견적</x:v>
      </x:c>
      <x:c r="G5" s="51"/>
      <x:c r="H5" s="51"/>
      <x:c r="I5" s="51"/>
      <x:c r="J5" s="51"/>
    </x:row>
    <x:row r="6" ht="24" customHeight="1">
      <x:c r="A6" s="40" t="str">
        <x:v>카트 대수</x:v>
      </x:c>
      <x:c r="B6" s="40"/>
      <x:c r="C6" s="40"/>
      <x:c r="D6" s="56" t="n">
        <x:v>1</x:v>
      </x:c>
      <x:c r="E6" s="40"/>
      <x:c r="F6" s="40" t="str">
        <x:v>통합 BOM 행</x:v>
      </x:c>
      <x:c r="G6" s="40"/>
      <x:c r="H6" s="40"/>
      <x:c r="I6" s="64" t="n">
        <x:f>COUNTA('구매BOM'!A6:A126)</x:f>
        <x:v>121</x:v>
      </x:c>
      <x:c r="J6" s="64"/>
    </x:row>
    <x:row r="7" ht="24" customHeight="1">
      <x:c r="A7" s="40" t="str">
        <x:v>조향 서보 옵션</x:v>
      </x:c>
      <x:c r="B7" s="40"/>
      <x:c r="C7" s="40"/>
      <x:c r="D7" s="56" t="n">
        <x:v>0</x:v>
      </x:c>
      <x:c r="E7" s="40"/>
      <x:c r="F7" s="40" t="str">
        <x:v>원본 참조번호</x:v>
      </x:c>
      <x:c r="G7" s="40"/>
      <x:c r="H7" s="40"/>
      <x:c r="I7" s="64" t="n">
        <x:f>COUNTA('원본46대조'!A6:A51)</x:f>
        <x:v>46</x:v>
      </x:c>
      <x:c r="J7" s="64"/>
    </x:row>
    <x:row r="8" ht="24" customHeight="1">
      <x:c r="A8" s="40" t="str">
        <x:v>ToF 멀티플렉서 보완</x:v>
      </x:c>
      <x:c r="B8" s="40"/>
      <x:c r="C8" s="40"/>
      <x:c r="D8" s="56" t="n">
        <x:v>1</x:v>
      </x:c>
      <x:c r="E8" s="40"/>
      <x:c r="F8" s="40" t="str">
        <x:v>수량·길이 미정</x:v>
      </x:c>
      <x:c r="G8" s="40"/>
      <x:c r="H8" s="40"/>
      <x:c r="I8" s="64" t="n">
        <x:f>COUNTBLANK('구매BOM'!E6:E126)</x:f>
        <x:v>15</x:v>
      </x:c>
      <x:c r="J8" s="64"/>
    </x:row>
    <x:row r="9" ht="24" customHeight="1">
      <x:c r="A9" s="40" t="str">
        <x:v>벤치 공구</x:v>
      </x:c>
      <x:c r="B9" s="40"/>
      <x:c r="C9" s="40"/>
      <x:c r="D9" s="56" t="n">
        <x:v>0</x:v>
      </x:c>
      <x:c r="E9" s="40"/>
      <x:c r="F9" s="40" t="str">
        <x:v>국내 상품 링크</x:v>
      </x:c>
      <x:c r="G9" s="40"/>
      <x:c r="H9" s="40"/>
      <x:c r="I9" s="64" t="n">
        <x:f>COUNTA('국내구매링크'!A6:A21)</x:f>
        <x:v>16</x:v>
      </x:c>
      <x:c r="J9" s="64"/>
    </x:row>
    <x:row r="10" ht="24" customHeight="1">
      <x:c r="A10" s="40" t="str">
        <x:v>준비재료</x:v>
      </x:c>
      <x:c r="B10" s="40"/>
      <x:c r="C10" s="40"/>
      <x:c r="D10" s="56" t="n">
        <x:v>1</x:v>
      </x:c>
      <x:c r="E10" s="40"/>
      <x:c r="F10" s="40" t="str">
        <x:v>가격 있는 활성 행</x:v>
      </x:c>
      <x:c r="G10" s="40"/>
      <x:c r="H10" s="40"/>
      <x:c r="I10" s="64" t="n">
        <x:f>COUNTIFS('구매BOM'!P6:P126,"&gt;0",'구매BOM'!M6:M126,"&gt;0")</x:f>
        <x:v>12</x:v>
      </x:c>
      <x:c r="J10" s="64"/>
    </x:row>
    <x:row r="11" ht="24" customHeight="1">
      <x:c r="A11" s="40" t="str">
        <x:v>추가 보완(엔코더)</x:v>
      </x:c>
      <x:c r="B11" s="40"/>
      <x:c r="C11" s="40"/>
      <x:c r="D11" s="56" t="n">
        <x:v>0</x:v>
      </x:c>
      <x:c r="E11" s="40"/>
      <x:c r="F11" s="40" t="str">
        <x:v>일부 표시가 소계</x:v>
      </x:c>
      <x:c r="G11" s="40"/>
      <x:c r="H11" s="40"/>
      <x:c r="I11" s="68" t="n">
        <x:f>SUM('구매BOM'!Q6:Q126)</x:f>
        <x:v>334530</x:v>
      </x:c>
      <x:c r="J11" s="68"/>
    </x:row>
    <x:row r="12" ht="24" customHeight="1">
      <x:c r="A12" s="40" t="str">
        <x:v>예비 포함</x:v>
      </x:c>
      <x:c r="B12" s="40"/>
      <x:c r="C12" s="40"/>
      <x:c r="D12" s="56" t="n">
        <x:v>1</x:v>
      </x:c>
      <x:c r="E12" s="40"/>
      <x:c r="F12" s="40" t="str">
        <x:v>미견적 활성 행</x:v>
      </x:c>
      <x:c r="G12" s="40"/>
      <x:c r="H12" s="40"/>
      <x:c r="I12" s="64" t="n">
        <x:f>SUM('구매BOM'!K6:K126)-COUNTIFS('구매BOM'!K6:K126,1,'구매BOM'!P6:P126,"&gt;0")</x:f>
        <x:v>88</x:v>
      </x:c>
      <x:c r="J12" s="64"/>
    </x:row>
    <x:row r="13" ht="30" customHeight="1">
      <x:c r="A13" s="60" t="str">
        <x:v>0=제외 / 1=포함. 파란 셀만 입력.</x:v>
      </x:c>
      <x:c r="B13" s="60"/>
      <x:c r="C13" s="60"/>
      <x:c r="D13" s="60"/>
      <x:c r="E13" s="40"/>
      <x:c r="F13" s="70" t="str">
        <x:v>총제작비 아님: 배송비·미견적·가공비 제외</x:v>
      </x:c>
      <x:c r="G13" s="70"/>
      <x:c r="H13" s="70"/>
      <x:c r="I13" s="70"/>
      <x:c r="J13" s="70"/>
    </x:row>
    <x:row r="14" ht="24" customHeight="1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</x:row>
    <x:row r="15" ht="26" customHeight="1">
      <x:c r="A15" s="51" t="str">
        <x:v>주문 전에 확인할 다섯 가지</x:v>
      </x:c>
      <x:c r="B15" s="51"/>
      <x:c r="C15" s="51"/>
      <x:c r="D15" s="51"/>
      <x:c r="E15" s="51"/>
      <x:c r="F15" s="51"/>
      <x:c r="G15" s="51"/>
      <x:c r="H15" s="51"/>
      <x:c r="I15" s="51"/>
      <x:c r="J15" s="51"/>
    </x:row>
    <x:row r="16" ht="38" customHeight="1">
      <x:c r="A16" s="40" t="str">
        <x:v>ToF: 3D 2개 / 배선도 1개 → 통합 필요 2 + 예비 1. 같은 I²C 주소 처리를 위한 회로 변경이 필요합니다.</x:v>
      </x:c>
      <x:c r="B16" s="40"/>
      <x:c r="C16" s="40"/>
      <x:c r="D16" s="40"/>
      <x:c r="E16" s="40"/>
      <x:c r="F16" s="40"/>
      <x:c r="G16" s="40"/>
      <x:c r="H16" s="40"/>
      <x:c r="I16" s="40"/>
      <x:c r="J16" s="40"/>
    </x:row>
    <x:row r="17" ht="38" customHeight="1">
      <x:c r="A17" s="40" t="str">
        <x:v>UWB: 좌·우 베이스 2 + 사용자 태그 1. 태그의 독립 전원과 휴대 케이스까지 확인합니다.</x:v>
      </x:c>
      <x:c r="B17" s="40"/>
      <x:c r="C17" s="40"/>
      <x:c r="D17" s="40"/>
      <x:c r="E17" s="40"/>
      <x:c r="F17" s="40"/>
      <x:c r="G17" s="40"/>
      <x:c r="H17" s="40"/>
      <x:c r="I17" s="40"/>
      <x:c r="J17" s="40"/>
    </x:row>
    <x:row r="18" ht="38" customHeight="1">
      <x:c r="A18" s="40" t="str">
        <x:v>퓨즈·홀더: 기본 8 + 조향 옵션 3 = 전체 11개씩. 표의 60A/25A 등은 검토값이지 승인값이 아닙니다.</x:v>
      </x:c>
      <x:c r="B18" s="40"/>
      <x:c r="C18" s="40"/>
      <x:c r="D18" s="40"/>
      <x:c r="E18" s="40"/>
      <x:c r="F18" s="40"/>
      <x:c r="G18" s="40"/>
      <x:c r="H18" s="40"/>
      <x:c r="I18" s="40"/>
      <x:c r="J18" s="40"/>
    </x:row>
    <x:row r="19" ht="38" customHeight="1">
      <x:c r="A19" s="40" t="str">
        <x:v>수량 미정 15행은 0이 아닙니다. 케이블 m·러그·체결물·제동 장치를 확정하기 전 전체 발주 불가입니다.</x:v>
      </x:c>
      <x:c r="B19" s="40"/>
      <x:c r="C19" s="40"/>
      <x:c r="D19" s="40"/>
      <x:c r="E19" s="40"/>
      <x:c r="F19" s="40"/>
      <x:c r="G19" s="40"/>
      <x:c r="H19" s="40"/>
      <x:c r="I19" s="40"/>
      <x:c r="J19" s="40"/>
    </x:row>
    <x:row r="20" ht="38" customHeight="1">
      <x:c r="A20" s="40" t="str">
        <x:v>국내 출고 A/B 근거를 재확인합니다. 한국 쇼핑몰이어도 주문수입·해외창고·통관 전환은 제외합니다.</x:v>
      </x:c>
      <x:c r="B20" s="40"/>
      <x:c r="C20" s="40"/>
      <x:c r="D20" s="40"/>
      <x:c r="E20" s="40"/>
      <x:c r="F20" s="40"/>
      <x:c r="G20" s="40"/>
      <x:c r="H20" s="40"/>
      <x:c r="I20" s="40"/>
      <x:c r="J20" s="40"/>
    </x:row>
    <x:row r="21" ht="24" customHeight="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</x:row>
    <x:row r="22" ht="26" customHeight="1">
      <x:c r="A22" s="51" t="str">
        <x:v>입력과 계산 규칙</x:v>
      </x:c>
      <x:c r="B22" s="51"/>
      <x:c r="C22" s="51"/>
      <x:c r="D22" s="51"/>
      <x:c r="E22" s="51"/>
      <x:c r="F22" s="51"/>
      <x:c r="G22" s="51"/>
      <x:c r="H22" s="51"/>
      <x:c r="I22" s="51"/>
      <x:c r="J22" s="51"/>
    </x:row>
    <x:row r="23" ht="38" customHeight="1">
      <x:c r="A23" s="40" t="str">
        <x:v>보유/동봉 차감은 미조사 상태의 초기 0입니다. 대차·키트에 포함된 케이블/어댑터/캐스터/헤더를 확인해 입력하세요.</x:v>
      </x:c>
      <x:c r="B23" s="40"/>
      <x:c r="C23" s="40"/>
      <x:c r="D23" s="40"/>
      <x:c r="E23" s="40"/>
      <x:c r="F23" s="40"/>
      <x:c r="G23" s="40"/>
      <x:c r="H23" s="40"/>
      <x:c r="I23" s="40"/>
      <x:c r="J23" s="40"/>
    </x:row>
    <x:row r="24" ht="38" customHeight="1">
      <x:c r="A24" s="40" t="str">
        <x:v>순소요 = max(0, (필요 + 선택된 예비) × 대수 - 보유 - 동봉). 공구는 대수와 무관하게 1회 준비합니다.</x:v>
      </x:c>
      <x:c r="B24" s="40"/>
      <x:c r="C24" s="40"/>
      <x:c r="D24" s="40"/>
      <x:c r="E24" s="40"/>
      <x:c r="F24" s="40"/>
      <x:c r="G24" s="40"/>
      <x:c r="H24" s="40"/>
      <x:c r="I24" s="40"/>
      <x:c r="J24" s="40"/>
    </x:row>
    <x:row r="25" ht="38" customHeight="1">
      <x:c r="A25" s="40" t="str">
        <x:v>구매포장 = 순소요 ÷ 포장당 수량의 올림. 입고·잔여·표시가 소계는 자동 계산합니다. 포장 단가는 1포장 전체 금액입니다.</x:v>
      </x:c>
      <x:c r="B25" s="40"/>
      <x:c r="C25" s="40"/>
      <x:c r="D25" s="40"/>
      <x:c r="E25" s="40"/>
      <x:c r="F25" s="40"/>
      <x:c r="G25" s="40"/>
      <x:c r="H25" s="40"/>
      <x:c r="I25" s="40"/>
      <x:c r="J25" s="40"/>
    </x:row>
    <x:row r="26" ht="38" customHeight="1">
      <x:c r="A26" s="40" t="str">
        <x:v>미정 수량·가격은 비워둡니다. 준비재료는 설치 확정 수가 아닌 작업 준비 제안이며 주행용 하네스와 구분합니다.</x:v>
      </x:c>
      <x:c r="B26" s="40"/>
      <x:c r="C26" s="40"/>
      <x:c r="D26" s="40"/>
      <x:c r="E26" s="40"/>
      <x:c r="F26" s="40"/>
      <x:c r="G26" s="40"/>
      <x:c r="H26" s="40"/>
      <x:c r="I26" s="40"/>
      <x:c r="J26" s="40"/>
    </x:row>
    <x:row r="27" ht="38" customHeight="1">
      <x:c r="A27" s="40" t="str">
        <x:v>구매BOM → 사양·근거 → 국내구매링크 순서로 확인하세요. 원본46대조는 추적용이며 수량을 다시 합산하지 않습니다.</x:v>
      </x:c>
      <x:c r="B27" s="40"/>
      <x:c r="C27" s="40"/>
      <x:c r="D27" s="40"/>
      <x:c r="E27" s="40"/>
      <x:c r="F27" s="40"/>
      <x:c r="G27" s="40"/>
      <x:c r="H27" s="40"/>
      <x:c r="I27" s="40"/>
      <x:c r="J27" s="40"/>
    </x:row>
    <x:row r="28" ht="24" customHeight="1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</x:row>
    <x:row r="29" ht="24" customHeight="1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</x:row>
    <x:row r="30" ht="26" customHeight="1">
      <x:c r="A30" s="51" t="str">
        <x:v>고정한 저장소 스냅샷</x:v>
      </x:c>
      <x:c r="B30" s="51"/>
      <x:c r="C30" s="51"/>
      <x:c r="D30" s="51"/>
      <x:c r="E30" s="51"/>
      <x:c r="F30" s="51"/>
      <x:c r="G30" s="51"/>
      <x:c r="H30" s="51"/>
      <x:c r="I30" s="51"/>
      <x:c r="J30" s="51"/>
    </x:row>
    <x:row r="31" ht="27" customHeight="1">
      <x:c r="A31" s="48" t="str">
        <x:v>Smart-Cart  2b4b8fea6909e4f76b4a52b02c5075c3f478097b</x:v>
      </x:c>
      <x:c r="B31" s="48"/>
      <x:c r="C31" s="48"/>
      <x:c r="D31" s="48"/>
      <x:c r="E31" s="48"/>
      <x:c r="F31" s="48"/>
      <x:c r="G31" s="48"/>
      <x:c r="H31" s="48"/>
      <x:c r="I31" s="48"/>
      <x:c r="J31" s="48"/>
    </x:row>
    <x:row r="32" ht="27" customHeight="1">
      <x:c r="A32" s="48" t="str">
        <x:v>Smart-Cart-Wiring  3ac3f1d793caba6494d27df6f0b9ba2eee8606d5</x:v>
      </x:c>
      <x:c r="B32" s="48"/>
      <x:c r="C32" s="48"/>
      <x:c r="D32" s="48"/>
      <x:c r="E32" s="48"/>
      <x:c r="F32" s="48"/>
      <x:c r="G32" s="48"/>
      <x:c r="H32" s="48"/>
      <x:c r="I32" s="48"/>
      <x:c r="J32" s="48"/>
    </x:row>
    <x:row r="33" ht="24" customHeight="1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</x:row>
    <x:row r="34" ht="24" customHeight="1">
      <x:c r="A34" s="73" t="str">
        <x:v>안전·제조 승인 아님. 모터/배터리 정격, 회생·제동, 기구 치수, 전선·접점 보호를 확정하고 담당자 검토 후 발주합니다.</x:v>
      </x:c>
      <x:c r="B34" s="73"/>
      <x:c r="C34" s="73"/>
      <x:c r="D34" s="73"/>
      <x:c r="E34" s="73"/>
      <x:c r="F34" s="73"/>
      <x:c r="G34" s="73"/>
      <x:c r="H34" s="73"/>
      <x:c r="I34" s="73"/>
      <x:c r="J34" s="73"/>
    </x:row>
    <x:row r="35" ht="24" customHeight="1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</x:row>
  </x:sheetData>
  <x:mergeCells>
    <x:mergeCell ref="A1:J2"/>
    <x:mergeCell ref="A3:J3"/>
    <x:mergeCell ref="A5:D5"/>
    <x:mergeCell ref="F5:J5"/>
    <x:mergeCell ref="A6:C6"/>
    <x:mergeCell ref="A7:C7"/>
    <x:mergeCell ref="A8:C8"/>
    <x:mergeCell ref="A9:C9"/>
    <x:mergeCell ref="A10:C10"/>
    <x:mergeCell ref="A11:C11"/>
    <x:mergeCell ref="A12:C12"/>
    <x:mergeCell ref="A13:D13"/>
    <x:mergeCell ref="F6:H6"/>
    <x:mergeCell ref="I6:J6"/>
    <x:mergeCell ref="F7:H7"/>
    <x:mergeCell ref="I7:J7"/>
    <x:mergeCell ref="F8:H8"/>
    <x:mergeCell ref="I8:J8"/>
    <x:mergeCell ref="F9:H9"/>
    <x:mergeCell ref="I9:J9"/>
    <x:mergeCell ref="F10:H10"/>
    <x:mergeCell ref="I10:J10"/>
    <x:mergeCell ref="F11:H11"/>
    <x:mergeCell ref="I11:J11"/>
    <x:mergeCell ref="F12:H12"/>
    <x:mergeCell ref="I12:J12"/>
    <x:mergeCell ref="F13:J13"/>
    <x:mergeCell ref="A15:J15"/>
    <x:mergeCell ref="A16:J16"/>
    <x:mergeCell ref="A17:J17"/>
    <x:mergeCell ref="A18:J18"/>
    <x:mergeCell ref="A19:J19"/>
    <x:mergeCell ref="A20:J20"/>
    <x:mergeCell ref="A22:J22"/>
    <x:mergeCell ref="A23:J23"/>
    <x:mergeCell ref="A24:J24"/>
    <x:mergeCell ref="A25:J25"/>
    <x:mergeCell ref="A26:J26"/>
    <x:mergeCell ref="A27:J27"/>
    <x:mergeCell ref="A30:J30"/>
    <x:mergeCell ref="A31:J31"/>
    <x:mergeCell ref="A32:J32"/>
    <x:mergeCell ref="A34:J35"/>
  </x:mergeCells>
  <x:dataValidations count="1">
    <x:dataValidation type="list" sqref="D7:D12">
      <x:formula1>"0,1"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3" hidden="0" customWidth="1"/>
    <x:col min="4" max="4" width="32" hidden="0" customWidth="1"/>
    <x:col min="5" max="5" width="10" hidden="0" customWidth="1"/>
    <x:col min="6" max="6" width="10" hidden="0" customWidth="1"/>
    <x:col min="7" max="7" width="8" hidden="0" customWidth="1"/>
    <x:col min="8" max="8" width="10" hidden="0" customWidth="1"/>
    <x:col min="9" max="9" width="10" hidden="0" customWidth="1"/>
    <x:col min="10" max="10" width="10" hidden="0" customWidth="1"/>
    <x:col min="11" max="11" width="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6" hidden="0" customWidth="1"/>
    <x:col min="17" max="17" width="18" hidden="0" customWidth="1"/>
    <x:col min="18" max="18" width="23" hidden="0" customWidth="1"/>
    <x:col min="19" max="19" width="10" hidden="0" customWidth="1"/>
    <x:col min="20" max="20" width="40" hidden="0" customWidth="1"/>
  </x:cols>
  <x:sheetData>
    <x:row r="1" ht="22" customHeight="1">
      <x:c r="A1" s="9" t="str">
        <x:v>SMART CART  |  통합 구매표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</x:row>
    <x:row r="2" ht="22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</x:row>
    <x:row r="3" ht="32" customHeight="1">
      <x:c r="A3" s="12" t="str">
        <x:v>1대 기준. 파란 셀은 입력값. 미정 수량/가격은 0이 아닙니다. 옵션·예비는 안내·설정에서 변경하고 동봉품은 차감하세요.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</x:row>
    <x:row r="5" ht="34" customHeight="1">
      <x:c r="A5" s="15" t="str">
        <x:v>ID</x:v>
      </x:c>
      <x:c r="B5" s="15" t="str">
        <x:v>분류</x:v>
      </x:c>
      <x:c r="C5" s="15" t="str">
        <x:v>구성</x:v>
      </x:c>
      <x:c r="D5" s="15" t="str">
        <x:v>부품</x:v>
      </x:c>
      <x:c r="E5" s="15" t="str">
        <x:v>필요 수량</x:v>
      </x:c>
      <x:c r="F5" s="15" t="str">
        <x:v>예비 수량</x:v>
      </x:c>
      <x:c r="G5" s="15" t="str">
        <x:v>단위</x:v>
      </x:c>
      <x:c r="H5" s="15" t="str">
        <x:v>포장당 수량</x:v>
      </x:c>
      <x:c r="I5" s="15" t="str">
        <x:v>보유 수량</x:v>
      </x:c>
      <x:c r="J5" s="15" t="str">
        <x:v>동봉 차감</x:v>
      </x:c>
      <x:c r="K5" s="15" t="str">
        <x:v>선택</x:v>
      </x:c>
      <x:c r="L5" s="15" t="str">
        <x:v>순소요</x:v>
      </x:c>
      <x:c r="M5" s="15" t="str">
        <x:v>구매 포장</x:v>
      </x:c>
      <x:c r="N5" s="15" t="str">
        <x:v>입고 수량</x:v>
      </x:c>
      <x:c r="O5" s="15" t="str">
        <x:v>예상 잔여</x:v>
      </x:c>
      <x:c r="P5" s="15" t="str">
        <x:v>포장 단가(원)</x:v>
      </x:c>
      <x:c r="Q5" s="15" t="str">
        <x:v>표시가 소계(원)</x:v>
      </x:c>
      <x:c r="R5" s="15" t="str">
        <x:v>발주 판정</x:v>
      </x:c>
      <x:c r="S5" s="15" t="str">
        <x:v>구매 코드</x:v>
      </x:c>
      <x:c r="T5" s="15" t="str">
        <x:v>구매 URL</x:v>
      </x:c>
    </x:row>
    <x:row r="6" ht="58" customHeight="1">
      <x:c r="A6" s="4" t="str">
        <x:v>C01</x:v>
      </x:c>
      <x:c r="B6" s="4" t="str">
        <x:v>제어·센서</x:v>
      </x:c>
      <x:c r="C6" s="4" t="str">
        <x:v>기본</x:v>
      </x:c>
      <x:c r="D6" s="4" t="str">
        <x:v>Orange Pi 4 Pro</x:v>
      </x:c>
      <x:c r="E6" s="22" t="n">
        <x:v>1</x:v>
      </x:c>
      <x:c r="F6" s="22" t="n">
        <x:v>0</x:v>
      </x:c>
      <x:c r="G6" s="4" t="str">
        <x:v>개</x:v>
      </x:c>
      <x:c r="H6" s="22" t="n">
        <x:v>1</x:v>
      </x:c>
      <x:c r="I6" s="22" t="n">
        <x:v>0</x:v>
      </x:c>
      <x:c r="J6" s="22" t="n">
        <x:v>0</x:v>
      </x:c>
      <x:c r="K6" s="30" t="n">
        <x:f>1</x:f>
        <x:v>1</x:v>
      </x:c>
      <x:c r="L6" s="30" t="n">
        <x:f>IF(K6=0,0,IF(ISNUMBER(E6),MAX(0,(E6+F6*'안내·설정'!$D$12)*IF(C6="공구",1,'안내·설정'!$D$6)-I6-J6),""))</x:f>
        <x:v>1</x:v>
      </x:c>
      <x:c r="M6" s="30" t="n">
        <x:f>IF(ISNUMBER(L6),IF(H6&gt;0,ROUNDUP(L6/H6,0),""),"")</x:f>
        <x:v>1</x:v>
      </x:c>
      <x:c r="N6" s="30" t="n">
        <x:f>IF(ISNUMBER(M6),M6*H6,"")</x:f>
        <x:v>1</x:v>
      </x:c>
      <x:c r="O6" s="30" t="n">
        <x:f>IF(K6=0,0,IF(ISNUMBER(E6),I6+J6+N6-E6*IF(C6="공구",1,'안내·설정'!$D$6),""))</x:f>
        <x:v>0</x:v>
      </x:c>
      <x:c r="P6" s="26"/>
      <x:c r="Q6" s="32" t="str">
        <x:f>IF(ISNUMBER(P6),IF(ISNUMBER(M6),P6*M6,""),"")</x:f>
      </x:c>
      <x:c r="R6" s="4" t="str">
        <x:v>사양·조달 보류</x:v>
      </x:c>
      <x:c r="S6" s="4"/>
      <x:c r="T6" s="4"/>
    </x:row>
    <x:row r="7" ht="58" customHeight="1">
      <x:c r="A7" s="4" t="str">
        <x:v>C02</x:v>
      </x:c>
      <x:c r="B7" s="4" t="str">
        <x:v>제어·센서</x:v>
      </x:c>
      <x:c r="C7" s="4" t="str">
        <x:v>기본</x:v>
      </x:c>
      <x:c r="D7" s="4" t="str">
        <x:v>ESP32-DevKitC V4 WROOM-32E</x:v>
      </x:c>
      <x:c r="E7" s="22" t="n">
        <x:v>1</x:v>
      </x:c>
      <x:c r="F7" s="22" t="n">
        <x:v>1</x:v>
      </x:c>
      <x:c r="G7" s="4" t="str">
        <x:v>개</x:v>
      </x:c>
      <x:c r="H7" s="22" t="n">
        <x:v>1</x:v>
      </x:c>
      <x:c r="I7" s="22" t="n">
        <x:v>0</x:v>
      </x:c>
      <x:c r="J7" s="22" t="n">
        <x:v>0</x:v>
      </x:c>
      <x:c r="K7" s="30" t="n">
        <x:f>1</x:f>
        <x:v>1</x:v>
      </x:c>
      <x:c r="L7" s="30" t="n">
        <x:f>IF(K7=0,0,IF(ISNUMBER(E7),MAX(0,(E7+F7*'안내·설정'!$D$12)*IF(C7="공구",1,'안내·설정'!$D$6)-I7-J7),""))</x:f>
        <x:v>2</x:v>
      </x:c>
      <x:c r="M7" s="30" t="n">
        <x:f>IF(ISNUMBER(L7),IF(H7&gt;0,ROUNDUP(L7/H7,0),""),"")</x:f>
        <x:v>2</x:v>
      </x:c>
      <x:c r="N7" s="30" t="n">
        <x:f>IF(ISNUMBER(M7),M7*H7,"")</x:f>
        <x:v>2</x:v>
      </x:c>
      <x:c r="O7" s="30" t="n">
        <x:f>IF(K7=0,0,IF(ISNUMBER(E7),I7+J7+N7-E7*IF(C7="공구",1,'안내·설정'!$D$6),""))</x:f>
        <x:v>1</x:v>
      </x:c>
      <x:c r="P7" s="26"/>
      <x:c r="Q7" s="32" t="str">
        <x:f>IF(ISNUMBER(P7),IF(ISNUMBER(M7),P7*M7,""),"")</x:f>
      </x:c>
      <x:c r="R7" s="4" t="str">
        <x:v>사양·조달 보류</x:v>
      </x:c>
      <x:c r="S7" s="4"/>
      <x:c r="T7" s="4"/>
    </x:row>
    <x:row r="8" ht="58" customHeight="1">
      <x:c r="A8" s="4" t="str">
        <x:v>C03</x:v>
      </x:c>
      <x:c r="B8" s="4" t="str">
        <x:v>제어·센서</x:v>
      </x:c>
      <x:c r="C8" s="4" t="str">
        <x:v>기본</x:v>
      </x:c>
      <x:c r="D8" s="4" t="str">
        <x:v>외부 전원 USB 허브</x:v>
      </x:c>
      <x:c r="E8" s="22" t="n">
        <x:v>1</x:v>
      </x:c>
      <x:c r="F8" s="22" t="n">
        <x:v>0</x:v>
      </x:c>
      <x:c r="G8" s="4" t="str">
        <x:v>개</x:v>
      </x:c>
      <x:c r="H8" s="22" t="n">
        <x:v>1</x:v>
      </x:c>
      <x:c r="I8" s="22" t="n">
        <x:v>0</x:v>
      </x:c>
      <x:c r="J8" s="22" t="n">
        <x:v>0</x:v>
      </x:c>
      <x:c r="K8" s="30" t="n">
        <x:f>1</x:f>
        <x:v>1</x:v>
      </x:c>
      <x:c r="L8" s="30" t="n">
        <x:f>IF(K8=0,0,IF(ISNUMBER(E8),MAX(0,(E8+F8*'안내·설정'!$D$12)*IF(C8="공구",1,'안내·설정'!$D$6)-I8-J8),""))</x:f>
        <x:v>1</x:v>
      </x:c>
      <x:c r="M8" s="30" t="n">
        <x:f>IF(ISNUMBER(L8),IF(H8&gt;0,ROUNDUP(L8/H8,0),""),"")</x:f>
        <x:v>1</x:v>
      </x:c>
      <x:c r="N8" s="30" t="n">
        <x:f>IF(ISNUMBER(M8),M8*H8,"")</x:f>
        <x:v>1</x:v>
      </x:c>
      <x:c r="O8" s="30" t="n">
        <x:f>IF(K8=0,0,IF(ISNUMBER(E8),I8+J8+N8-E8*IF(C8="공구",1,'안내·설정'!$D$6),""))</x:f>
        <x:v>0</x:v>
      </x:c>
      <x:c r="P8" s="26"/>
      <x:c r="Q8" s="32" t="str">
        <x:f>IF(ISNUMBER(P8),IF(ISNUMBER(M8),P8*M8,""),"")</x:f>
      </x:c>
      <x:c r="R8" s="4" t="str">
        <x:v>사양·조달 보류</x:v>
      </x:c>
      <x:c r="S8" s="4"/>
      <x:c r="T8" s="4"/>
    </x:row>
    <x:row r="9" ht="58" customHeight="1">
      <x:c r="A9" s="4" t="str">
        <x:v>C04</x:v>
      </x:c>
      <x:c r="B9" s="4" t="str">
        <x:v>제어·센서</x:v>
      </x:c>
      <x:c r="C9" s="4" t="str">
        <x:v>기본</x:v>
      </x:c>
      <x:c r="D9" s="4" t="str">
        <x:v>RPLIDAR C1 센서</x:v>
      </x:c>
      <x:c r="E9" s="22" t="n">
        <x:v>1</x:v>
      </x:c>
      <x:c r="F9" s="22" t="n">
        <x:v>0</x:v>
      </x:c>
      <x:c r="G9" s="4" t="str">
        <x:v>개</x:v>
      </x:c>
      <x:c r="H9" s="22" t="n">
        <x:v>1</x:v>
      </x:c>
      <x:c r="I9" s="22" t="n">
        <x:v>0</x:v>
      </x:c>
      <x:c r="J9" s="22" t="n">
        <x:v>0</x:v>
      </x:c>
      <x:c r="K9" s="30" t="n">
        <x:f>1</x:f>
        <x:v>1</x:v>
      </x:c>
      <x:c r="L9" s="30" t="n">
        <x:f>IF(K9=0,0,IF(ISNUMBER(E9),MAX(0,(E9+F9*'안내·설정'!$D$12)*IF(C9="공구",1,'안내·설정'!$D$6)-I9-J9),""))</x:f>
        <x:v>1</x:v>
      </x:c>
      <x:c r="M9" s="30" t="n">
        <x:f>IF(ISNUMBER(L9),IF(H9&gt;0,ROUNDUP(L9/H9,0),""),"")</x:f>
        <x:v>1</x:v>
      </x:c>
      <x:c r="N9" s="30" t="n">
        <x:f>IF(ISNUMBER(M9),M9*H9,"")</x:f>
        <x:v>1</x:v>
      </x:c>
      <x:c r="O9" s="30" t="n">
        <x:f>IF(K9=0,0,IF(ISNUMBER(E9),I9+J9+N9-E9*IF(C9="공구",1,'안내·설정'!$D$6),""))</x:f>
        <x:v>0</x:v>
      </x:c>
      <x:c r="P9" s="26" t="n">
        <x:v>112500</x:v>
      </x:c>
      <x:c r="Q9" s="32" t="n">
        <x:f>IF(ISNUMBER(P9),IF(ISNUMBER(M9),P9*M9,""),"")</x:f>
        <x:v>112500</x:v>
      </x:c>
      <x:c r="R9" s="4" t="str">
        <x:v>국내출고·동봉 확인</x:v>
      </x:c>
      <x:c r="S9" s="4" t="str">
        <x:v>P04</x:v>
      </x:c>
      <x:c r="T9" s="4" t="str">
        <x:v>https://eduino.kr/product/detail.html?product_no=9805</x:v>
      </x:c>
    </x:row>
    <x:row r="10" ht="58" customHeight="1">
      <x:c r="A10" s="4" t="str">
        <x:v>C05</x:v>
      </x:c>
      <x:c r="B10" s="4" t="str">
        <x:v>제어·센서</x:v>
      </x:c>
      <x:c r="C10" s="4" t="str">
        <x:v>기본</x:v>
      </x:c>
      <x:c r="D10" s="4" t="str">
        <x:v>C1 전용 USB-UART 어댑터</x:v>
      </x:c>
      <x:c r="E10" s="22" t="n">
        <x:v>1</x:v>
      </x:c>
      <x:c r="F10" s="22" t="n">
        <x:v>0</x:v>
      </x:c>
      <x:c r="G10" s="4" t="str">
        <x:v>개</x:v>
      </x:c>
      <x:c r="H10" s="22" t="n">
        <x:v>1</x:v>
      </x:c>
      <x:c r="I10" s="22" t="n">
        <x:v>0</x:v>
      </x:c>
      <x:c r="J10" s="22" t="n">
        <x:v>0</x:v>
      </x:c>
      <x:c r="K10" s="30" t="n">
        <x:f>1</x:f>
        <x:v>1</x:v>
      </x:c>
      <x:c r="L10" s="30" t="n">
        <x:f>IF(K10=0,0,IF(ISNUMBER(E10),MAX(0,(E10+F10*'안내·설정'!$D$12)*IF(C10="공구",1,'안내·설정'!$D$6)-I10-J10),""))</x:f>
        <x:v>1</x:v>
      </x:c>
      <x:c r="M10" s="30" t="n">
        <x:f>IF(ISNUMBER(L10),IF(H10&gt;0,ROUNDUP(L10/H10,0),""),"")</x:f>
        <x:v>1</x:v>
      </x:c>
      <x:c r="N10" s="30" t="n">
        <x:f>IF(ISNUMBER(M10),M10*H10,"")</x:f>
        <x:v>1</x:v>
      </x:c>
      <x:c r="O10" s="30" t="n">
        <x:f>IF(K10=0,0,IF(ISNUMBER(E10),I10+J10+N10-E10*IF(C10="공구",1,'안내·설정'!$D$6),""))</x:f>
        <x:v>0</x:v>
      </x:c>
      <x:c r="P10" s="26"/>
      <x:c r="Q10" s="32" t="str">
        <x:f>IF(ISNUMBER(P10),IF(ISNUMBER(M10),P10*M10,""),"")</x:f>
      </x:c>
      <x:c r="R10" s="4" t="str">
        <x:v>동봉·조달 보류</x:v>
      </x:c>
      <x:c r="S10" s="4"/>
      <x:c r="T10" s="4"/>
    </x:row>
    <x:row r="11" ht="58" customHeight="1">
      <x:c r="A11" s="4" t="str">
        <x:v>C06</x:v>
      </x:c>
      <x:c r="B11" s="4" t="str">
        <x:v>제어·센서</x:v>
      </x:c>
      <x:c r="C11" s="4" t="str">
        <x:v>기본</x:v>
      </x:c>
      <x:c r="D11" s="4" t="str">
        <x:v>BU04-Kit 카트 베이스</x:v>
      </x:c>
      <x:c r="E11" s="22" t="n">
        <x:v>2</x:v>
      </x:c>
      <x:c r="F11" s="22" t="n">
        <x:v>0</x:v>
      </x:c>
      <x:c r="G11" s="4" t="str">
        <x:v>개</x:v>
      </x:c>
      <x:c r="H11" s="22" t="n">
        <x:v>1</x:v>
      </x:c>
      <x:c r="I11" s="22" t="n">
        <x:v>0</x:v>
      </x:c>
      <x:c r="J11" s="22" t="n">
        <x:v>0</x:v>
      </x:c>
      <x:c r="K11" s="30" t="n">
        <x:f>1</x:f>
        <x:v>1</x:v>
      </x:c>
      <x:c r="L11" s="30" t="n">
        <x:f>IF(K11=0,0,IF(ISNUMBER(E11),MAX(0,(E11+F11*'안내·설정'!$D$12)*IF(C11="공구",1,'안내·설정'!$D$6)-I11-J11),""))</x:f>
        <x:v>2</x:v>
      </x:c>
      <x:c r="M11" s="30" t="n">
        <x:f>IF(ISNUMBER(L11),IF(H11&gt;0,ROUNDUP(L11/H11,0),""),"")</x:f>
        <x:v>2</x:v>
      </x:c>
      <x:c r="N11" s="30" t="n">
        <x:f>IF(ISNUMBER(M11),M11*H11,"")</x:f>
        <x:v>2</x:v>
      </x:c>
      <x:c r="O11" s="30" t="n">
        <x:f>IF(K11=0,0,IF(ISNUMBER(E11),I11+J11+N11-E11*IF(C11="공구",1,'안내·설정'!$D$6),""))</x:f>
        <x:v>0</x:v>
      </x:c>
      <x:c r="P11" s="26"/>
      <x:c r="Q11" s="32" t="str">
        <x:f>IF(ISNUMBER(P11),IF(ISNUMBER(M11),P11*M11,""),"")</x:f>
      </x:c>
      <x:c r="R11" s="4" t="str">
        <x:v>사양·조달 보류</x:v>
      </x:c>
      <x:c r="S11" s="4"/>
      <x:c r="T11" s="4"/>
    </x:row>
    <x:row r="12" ht="58" customHeight="1">
      <x:c r="A12" s="4" t="str">
        <x:v>C07</x:v>
      </x:c>
      <x:c r="B12" s="4" t="str">
        <x:v>제어·센서</x:v>
      </x:c>
      <x:c r="C12" s="4" t="str">
        <x:v>기본</x:v>
      </x:c>
      <x:c r="D12" s="4" t="str">
        <x:v>호환 UWB 사용자 태그</x:v>
      </x:c>
      <x:c r="E12" s="22" t="n">
        <x:v>1</x:v>
      </x:c>
      <x:c r="F12" s="22" t="n">
        <x:v>0</x:v>
      </x:c>
      <x:c r="G12" s="4" t="str">
        <x:v>개</x:v>
      </x:c>
      <x:c r="H12" s="22" t="n">
        <x:v>1</x:v>
      </x:c>
      <x:c r="I12" s="22" t="n">
        <x:v>0</x:v>
      </x:c>
      <x:c r="J12" s="22" t="n">
        <x:v>0</x:v>
      </x:c>
      <x:c r="K12" s="30" t="n">
        <x:f>1</x:f>
        <x:v>1</x:v>
      </x:c>
      <x:c r="L12" s="30" t="n">
        <x:f>IF(K12=0,0,IF(ISNUMBER(E12),MAX(0,(E12+F12*'안내·설정'!$D$12)*IF(C12="공구",1,'안내·설정'!$D$6)-I12-J12),""))</x:f>
        <x:v>1</x:v>
      </x:c>
      <x:c r="M12" s="30" t="n">
        <x:f>IF(ISNUMBER(L12),IF(H12&gt;0,ROUNDUP(L12/H12,0),""),"")</x:f>
        <x:v>1</x:v>
      </x:c>
      <x:c r="N12" s="30" t="n">
        <x:f>IF(ISNUMBER(M12),M12*H12,"")</x:f>
        <x:v>1</x:v>
      </x:c>
      <x:c r="O12" s="30" t="n">
        <x:f>IF(K12=0,0,IF(ISNUMBER(E12),I12+J12+N12-E12*IF(C12="공구",1,'안내·설정'!$D$6),""))</x:f>
        <x:v>0</x:v>
      </x:c>
      <x:c r="P12" s="26"/>
      <x:c r="Q12" s="32" t="str">
        <x:f>IF(ISNUMBER(P12),IF(ISNUMBER(M12),P12*M12,""),"")</x:f>
      </x:c>
      <x:c r="R12" s="4" t="str">
        <x:v>사양·조달 보류</x:v>
      </x:c>
      <x:c r="S12" s="4"/>
      <x:c r="T12" s="4"/>
    </x:row>
    <x:row r="13" ht="58" customHeight="1">
      <x:c r="A13" s="4" t="str">
        <x:v>C08</x:v>
      </x:c>
      <x:c r="B13" s="4" t="str">
        <x:v>제어·센서</x:v>
      </x:c>
      <x:c r="C13" s="4" t="str">
        <x:v>기본</x:v>
      </x:c>
      <x:c r="D13" s="4" t="str">
        <x:v>BNO085 IMU 브레이크아웃</x:v>
      </x:c>
      <x:c r="E13" s="22" t="n">
        <x:v>1</x:v>
      </x:c>
      <x:c r="F13" s="22" t="n">
        <x:v>0</x:v>
      </x:c>
      <x:c r="G13" s="4" t="str">
        <x:v>개</x:v>
      </x:c>
      <x:c r="H13" s="22" t="n">
        <x:v>1</x:v>
      </x:c>
      <x:c r="I13" s="22" t="n">
        <x:v>0</x:v>
      </x:c>
      <x:c r="J13" s="22" t="n">
        <x:v>0</x:v>
      </x:c>
      <x:c r="K13" s="30" t="n">
        <x:f>1</x:f>
        <x:v>1</x:v>
      </x:c>
      <x:c r="L13" s="30" t="n">
        <x:f>IF(K13=0,0,IF(ISNUMBER(E13),MAX(0,(E13+F13*'안내·설정'!$D$12)*IF(C13="공구",1,'안내·설정'!$D$6)-I13-J13),""))</x:f>
        <x:v>1</x:v>
      </x:c>
      <x:c r="M13" s="30" t="n">
        <x:f>IF(ISNUMBER(L13),IF(H13&gt;0,ROUNDUP(L13/H13,0),""),"")</x:f>
        <x:v>1</x:v>
      </x:c>
      <x:c r="N13" s="30" t="n">
        <x:f>IF(ISNUMBER(M13),M13*H13,"")</x:f>
        <x:v>1</x:v>
      </x:c>
      <x:c r="O13" s="30" t="n">
        <x:f>IF(K13=0,0,IF(ISNUMBER(E13),I13+J13+N13-E13*IF(C13="공구",1,'안내·설정'!$D$6),""))</x:f>
        <x:v>0</x:v>
      </x:c>
      <x:c r="P13" s="26" t="n">
        <x:v>53800</x:v>
      </x:c>
      <x:c r="Q13" s="32" t="n">
        <x:f>IF(ISNUMBER(P13),IF(ISNUMBER(M13),P13*M13,""),"")</x:f>
        <x:v>53800</x:v>
      </x:c>
      <x:c r="R13" s="4" t="str">
        <x:v>국내재고 재확인</x:v>
      </x:c>
      <x:c r="S13" s="4" t="str">
        <x:v>P01</x:v>
      </x:c>
      <x:c r="T13" s="4" t="str">
        <x:v>https://robotscience.kr/goods/view?no=15723</x:v>
      </x:c>
    </x:row>
    <x:row r="14" ht="58" customHeight="1">
      <x:c r="A14" s="4" t="str">
        <x:v>C09</x:v>
      </x:c>
      <x:c r="B14" s="4" t="str">
        <x:v>제어·센서</x:v>
      </x:c>
      <x:c r="C14" s="4" t="str">
        <x:v>기본</x:v>
      </x:c>
      <x:c r="D14" s="4" t="str">
        <x:v>VL53L1X ToF 브레이크아웃</x:v>
      </x:c>
      <x:c r="E14" s="22" t="n">
        <x:v>2</x:v>
      </x:c>
      <x:c r="F14" s="22" t="n">
        <x:v>1</x:v>
      </x:c>
      <x:c r="G14" s="4" t="str">
        <x:v>개</x:v>
      </x:c>
      <x:c r="H14" s="22" t="n">
        <x:v>1</x:v>
      </x:c>
      <x:c r="I14" s="22" t="n">
        <x:v>0</x:v>
      </x:c>
      <x:c r="J14" s="22" t="n">
        <x:v>0</x:v>
      </x:c>
      <x:c r="K14" s="30" t="n">
        <x:f>1</x:f>
        <x:v>1</x:v>
      </x:c>
      <x:c r="L14" s="30" t="n">
        <x:f>IF(K14=0,0,IF(ISNUMBER(E14),MAX(0,(E14+F14*'안내·설정'!$D$12)*IF(C14="공구",1,'안내·설정'!$D$6)-I14-J14),""))</x:f>
        <x:v>3</x:v>
      </x:c>
      <x:c r="M14" s="30" t="n">
        <x:f>IF(ISNUMBER(L14),IF(H14&gt;0,ROUNDUP(L14/H14,0),""),"")</x:f>
        <x:v>3</x:v>
      </x:c>
      <x:c r="N14" s="30" t="n">
        <x:f>IF(ISNUMBER(M14),M14*H14,"")</x:f>
        <x:v>3</x:v>
      </x:c>
      <x:c r="O14" s="30" t="n">
        <x:f>IF(K14=0,0,IF(ISNUMBER(E14),I14+J14+N14-E14*IF(C14="공구",1,'안내·설정'!$D$6),""))</x:f>
        <x:v>1</x:v>
      </x:c>
      <x:c r="P14" s="26" t="n">
        <x:v>41300</x:v>
      </x:c>
      <x:c r="Q14" s="32" t="n">
        <x:f>IF(ISNUMBER(P14),IF(ISNUMBER(M14),P14*M14,""),"")</x:f>
        <x:v>123900</x:v>
      </x:c>
      <x:c r="R14" s="4" t="str">
        <x:v>회로보완 후 발주</x:v>
      </x:c>
      <x:c r="S14" s="4" t="str">
        <x:v>P02</x:v>
      </x:c>
      <x:c r="T14" s="4" t="str">
        <x:v>https://robotscience.kr/goods/view?no=19458</x:v>
      </x:c>
    </x:row>
    <x:row r="15" ht="58" customHeight="1">
      <x:c r="A15" s="4" t="str">
        <x:v>C10</x:v>
      </x:c>
      <x:c r="B15" s="4" t="str">
        <x:v>제어·센서</x:v>
      </x:c>
      <x:c r="C15" s="4" t="str">
        <x:v>ToF보완</x:v>
      </x:c>
      <x:c r="D15" s="4" t="str">
        <x:v>I2C 멀티플렉서</x:v>
      </x:c>
      <x:c r="E15" s="22" t="n">
        <x:v>1</x:v>
      </x:c>
      <x:c r="F15" s="22" t="n">
        <x:v>0</x:v>
      </x:c>
      <x:c r="G15" s="4" t="str">
        <x:v>개</x:v>
      </x:c>
      <x:c r="H15" s="22" t="n">
        <x:v>1</x:v>
      </x:c>
      <x:c r="I15" s="22" t="n">
        <x:v>0</x:v>
      </x:c>
      <x:c r="J15" s="22" t="n">
        <x:v>0</x:v>
      </x:c>
      <x:c r="K15" s="30" t="n">
        <x:f>'안내·설정'!$D$8</x:f>
        <x:v>1</x:v>
      </x:c>
      <x:c r="L15" s="30" t="n">
        <x:f>IF(K15=0,0,IF(ISNUMBER(E15),MAX(0,(E15+F15*'안내·설정'!$D$12)*IF(C15="공구",1,'안내·설정'!$D$6)-I15-J15),""))</x:f>
        <x:v>1</x:v>
      </x:c>
      <x:c r="M15" s="30" t="n">
        <x:f>IF(ISNUMBER(L15),IF(H15&gt;0,ROUNDUP(L15/H15,0),""),"")</x:f>
        <x:v>1</x:v>
      </x:c>
      <x:c r="N15" s="30" t="n">
        <x:f>IF(ISNUMBER(M15),M15*H15,"")</x:f>
        <x:v>1</x:v>
      </x:c>
      <x:c r="O15" s="30" t="n">
        <x:f>IF(K15=0,0,IF(ISNUMBER(E15),I15+J15+N15-E15*IF(C15="공구",1,'안내·설정'!$D$6),""))</x:f>
        <x:v>0</x:v>
      </x:c>
      <x:c r="P15" s="26" t="n">
        <x:v>16700</x:v>
      </x:c>
      <x:c r="Q15" s="32" t="n">
        <x:f>IF(ISNUMBER(P15),IF(ISNUMBER(M15),P15*M15,""),"")</x:f>
        <x:v>16700</x:v>
      </x:c>
      <x:c r="R15" s="4" t="str">
        <x:v>설계변경 후 발주</x:v>
      </x:c>
      <x:c r="S15" s="4" t="str">
        <x:v>P03</x:v>
      </x:c>
      <x:c r="T15" s="4" t="str">
        <x:v>https://robotscience.kr/goods/view?no=20126</x:v>
      </x:c>
    </x:row>
    <x:row r="16" ht="58" customHeight="1">
      <x:c r="A16" s="4" t="str">
        <x:v>C11</x:v>
      </x:c>
      <x:c r="B16" s="4" t="str">
        <x:v>제어·센서</x:v>
      </x:c>
      <x:c r="C16" s="4" t="str">
        <x:v>ToF보완</x:v>
      </x:c>
      <x:c r="D16" s="4" t="str">
        <x:v>JST-SH 1.0mm 4핀 분기 하네스</x:v>
      </x:c>
      <x:c r="E16" s="22" t="n">
        <x:v>2</x:v>
      </x:c>
      <x:c r="F16" s="22" t="n">
        <x:v>1</x:v>
      </x:c>
      <x:c r="G16" s="4" t="str">
        <x:v>개</x:v>
      </x:c>
      <x:c r="H16" s="22" t="n">
        <x:v>1</x:v>
      </x:c>
      <x:c r="I16" s="22" t="n">
        <x:v>0</x:v>
      </x:c>
      <x:c r="J16" s="22" t="n">
        <x:v>0</x:v>
      </x:c>
      <x:c r="K16" s="30" t="n">
        <x:f>'안내·설정'!$D$8</x:f>
        <x:v>1</x:v>
      </x:c>
      <x:c r="L16" s="30" t="n">
        <x:f>IF(K16=0,0,IF(ISNUMBER(E16),MAX(0,(E16+F16*'안내·설정'!$D$12)*IF(C16="공구",1,'안내·설정'!$D$6)-I16-J16),""))</x:f>
        <x:v>3</x:v>
      </x:c>
      <x:c r="M16" s="30" t="n">
        <x:f>IF(ISNUMBER(L16),IF(H16&gt;0,ROUNDUP(L16/H16,0),""),"")</x:f>
        <x:v>3</x:v>
      </x:c>
      <x:c r="N16" s="30" t="n">
        <x:f>IF(ISNUMBER(M16),M16*H16,"")</x:f>
        <x:v>3</x:v>
      </x:c>
      <x:c r="O16" s="30" t="n">
        <x:f>IF(K16=0,0,IF(ISNUMBER(E16),I16+J16+N16-E16*IF(C16="공구",1,'안내·설정'!$D$6),""))</x:f>
        <x:v>1</x:v>
      </x:c>
      <x:c r="P16" s="26"/>
      <x:c r="Q16" s="32" t="str">
        <x:f>IF(ISNUMBER(P16),IF(ISNUMBER(M16),P16*M16,""),"")</x:f>
      </x:c>
      <x:c r="R16" s="4" t="str">
        <x:v>사양·조달 보류</x:v>
      </x:c>
      <x:c r="S16" s="4"/>
      <x:c r="T16" s="4"/>
    </x:row>
    <x:row r="17" ht="58" customHeight="1">
      <x:c r="A17" s="4" t="str">
        <x:v>C12</x:v>
      </x:c>
      <x:c r="B17" s="4" t="str">
        <x:v>제어·센서</x:v>
      </x:c>
      <x:c r="C17" s="4" t="str">
        <x:v>기본</x:v>
      </x:c>
      <x:c r="D17" s="4" t="str">
        <x:v>microSD 저장장치</x:v>
      </x:c>
      <x:c r="E17" s="22" t="n">
        <x:v>1</x:v>
      </x:c>
      <x:c r="F17" s="22" t="n">
        <x:v>1</x:v>
      </x:c>
      <x:c r="G17" s="4" t="str">
        <x:v>개</x:v>
      </x:c>
      <x:c r="H17" s="22" t="n">
        <x:v>1</x:v>
      </x:c>
      <x:c r="I17" s="22" t="n">
        <x:v>0</x:v>
      </x:c>
      <x:c r="J17" s="22" t="n">
        <x:v>0</x:v>
      </x:c>
      <x:c r="K17" s="30" t="n">
        <x:f>1</x:f>
        <x:v>1</x:v>
      </x:c>
      <x:c r="L17" s="30" t="n">
        <x:f>IF(K17=0,0,IF(ISNUMBER(E17),MAX(0,(E17+F17*'안내·설정'!$D$12)*IF(C17="공구",1,'안내·설정'!$D$6)-I17-J17),""))</x:f>
        <x:v>2</x:v>
      </x:c>
      <x:c r="M17" s="30" t="n">
        <x:f>IF(ISNUMBER(L17),IF(H17&gt;0,ROUNDUP(L17/H17,0),""),"")</x:f>
        <x:v>2</x:v>
      </x:c>
      <x:c r="N17" s="30" t="n">
        <x:f>IF(ISNUMBER(M17),M17*H17,"")</x:f>
        <x:v>2</x:v>
      </x:c>
      <x:c r="O17" s="30" t="n">
        <x:f>IF(K17=0,0,IF(ISNUMBER(E17),I17+J17+N17-E17*IF(C17="공구",1,'안내·설정'!$D$6),""))</x:f>
        <x:v>1</x:v>
      </x:c>
      <x:c r="P17" s="26"/>
      <x:c r="Q17" s="32" t="str">
        <x:f>IF(ISNUMBER(P17),IF(ISNUMBER(M17),P17*M17,""),"")</x:f>
      </x:c>
      <x:c r="R17" s="4" t="str">
        <x:v>사양·조달 보류</x:v>
      </x:c>
      <x:c r="S17" s="4"/>
      <x:c r="T17" s="4"/>
    </x:row>
    <x:row r="18" ht="58" customHeight="1">
      <x:c r="A18" s="4" t="str">
        <x:v>C13</x:v>
      </x:c>
      <x:c r="B18" s="4" t="str">
        <x:v>제어·센서</x:v>
      </x:c>
      <x:c r="C18" s="4" t="str">
        <x:v>기본</x:v>
      </x:c>
      <x:c r="D18" s="4" t="str">
        <x:v>SBC 방열·냉각 세트</x:v>
      </x:c>
      <x:c r="E18" s="22" t="n">
        <x:v>1</x:v>
      </x:c>
      <x:c r="F18" s="22" t="n">
        <x:v>0</x:v>
      </x:c>
      <x:c r="G18" s="4" t="str">
        <x:v>세트</x:v>
      </x:c>
      <x:c r="H18" s="22" t="n">
        <x:v>1</x:v>
      </x:c>
      <x:c r="I18" s="22" t="n">
        <x:v>0</x:v>
      </x:c>
      <x:c r="J18" s="22" t="n">
        <x:v>0</x:v>
      </x:c>
      <x:c r="K18" s="30" t="n">
        <x:f>1</x:f>
        <x:v>1</x:v>
      </x:c>
      <x:c r="L18" s="30" t="n">
        <x:f>IF(K18=0,0,IF(ISNUMBER(E18),MAX(0,(E18+F18*'안내·설정'!$D$12)*IF(C18="공구",1,'안내·설정'!$D$6)-I18-J18),""))</x:f>
        <x:v>1</x:v>
      </x:c>
      <x:c r="M18" s="30" t="n">
        <x:f>IF(ISNUMBER(L18),IF(H18&gt;0,ROUNDUP(L18/H18,0),""),"")</x:f>
        <x:v>1</x:v>
      </x:c>
      <x:c r="N18" s="30" t="n">
        <x:f>IF(ISNUMBER(M18),M18*H18,"")</x:f>
        <x:v>1</x:v>
      </x:c>
      <x:c r="O18" s="30" t="n">
        <x:f>IF(K18=0,0,IF(ISNUMBER(E18),I18+J18+N18-E18*IF(C18="공구",1,'안내·설정'!$D$6),""))</x:f>
        <x:v>0</x:v>
      </x:c>
      <x:c r="P18" s="26"/>
      <x:c r="Q18" s="32" t="str">
        <x:f>IF(ISNUMBER(P18),IF(ISNUMBER(M18),P18*M18,""),"")</x:f>
      </x:c>
      <x:c r="R18" s="4" t="str">
        <x:v>사양·조달 보류</x:v>
      </x:c>
      <x:c r="S18" s="4"/>
      <x:c r="T18" s="4"/>
    </x:row>
    <x:row r="19" ht="58" customHeight="1">
      <x:c r="A19" s="4" t="str">
        <x:v>C14</x:v>
      </x:c>
      <x:c r="B19" s="4" t="str">
        <x:v>제어·센서</x:v>
      </x:c>
      <x:c r="C19" s="4" t="str">
        <x:v>기본</x:v>
      </x:c>
      <x:c r="D19" s="4" t="str">
        <x:v>사용자 태그 독립 전원</x:v>
      </x:c>
      <x:c r="E19" s="22" t="n">
        <x:v>1</x:v>
      </x:c>
      <x:c r="F19" s="22" t="n">
        <x:v>0</x:v>
      </x:c>
      <x:c r="G19" s="4" t="str">
        <x:v>세트</x:v>
      </x:c>
      <x:c r="H19" s="22" t="n">
        <x:v>1</x:v>
      </x:c>
      <x:c r="I19" s="22" t="n">
        <x:v>0</x:v>
      </x:c>
      <x:c r="J19" s="22" t="n">
        <x:v>0</x:v>
      </x:c>
      <x:c r="K19" s="30" t="n">
        <x:f>1</x:f>
        <x:v>1</x:v>
      </x:c>
      <x:c r="L19" s="30" t="n">
        <x:f>IF(K19=0,0,IF(ISNUMBER(E19),MAX(0,(E19+F19*'안내·설정'!$D$12)*IF(C19="공구",1,'안내·설정'!$D$6)-I19-J19),""))</x:f>
        <x:v>1</x:v>
      </x:c>
      <x:c r="M19" s="30" t="n">
        <x:f>IF(ISNUMBER(L19),IF(H19&gt;0,ROUNDUP(L19/H19,0),""),"")</x:f>
        <x:v>1</x:v>
      </x:c>
      <x:c r="N19" s="30" t="n">
        <x:f>IF(ISNUMBER(M19),M19*H19,"")</x:f>
        <x:v>1</x:v>
      </x:c>
      <x:c r="O19" s="30" t="n">
        <x:f>IF(K19=0,0,IF(ISNUMBER(E19),I19+J19+N19-E19*IF(C19="공구",1,'안내·설정'!$D$6),""))</x:f>
        <x:v>0</x:v>
      </x:c>
      <x:c r="P19" s="26"/>
      <x:c r="Q19" s="32" t="str">
        <x:f>IF(ISNUMBER(P19),IF(ISNUMBER(M19),P19*M19,""),"")</x:f>
      </x:c>
      <x:c r="R19" s="4" t="str">
        <x:v>사양·조달 보류</x:v>
      </x:c>
      <x:c r="S19" s="4"/>
      <x:c r="T19" s="4"/>
    </x:row>
    <x:row r="20" ht="58" customHeight="1">
      <x:c r="A20" s="4" t="str">
        <x:v>E01</x:v>
      </x:c>
      <x:c r="B20" s="4" t="str">
        <x:v>전원·보호</x:v>
      </x:c>
      <x:c r="C20" s="4" t="str">
        <x:v>기본</x:v>
      </x:c>
      <x:c r="D20" s="4" t="str">
        <x:v>LiFePO4 배터리 팩</x:v>
      </x:c>
      <x:c r="E20" s="22" t="n">
        <x:v>1</x:v>
      </x:c>
      <x:c r="F20" s="22" t="n">
        <x:v>0</x:v>
      </x:c>
      <x:c r="G20" s="4" t="str">
        <x:v>개</x:v>
      </x:c>
      <x:c r="H20" s="22" t="n">
        <x:v>1</x:v>
      </x:c>
      <x:c r="I20" s="22" t="n">
        <x:v>0</x:v>
      </x:c>
      <x:c r="J20" s="22" t="n">
        <x:v>0</x:v>
      </x:c>
      <x:c r="K20" s="30" t="n">
        <x:f>1</x:f>
        <x:v>1</x:v>
      </x:c>
      <x:c r="L20" s="30" t="n">
        <x:f>IF(K20=0,0,IF(ISNUMBER(E20),MAX(0,(E20+F20*'안내·설정'!$D$12)*IF(C20="공구",1,'안내·설정'!$D$6)-I20-J20),""))</x:f>
        <x:v>1</x:v>
      </x:c>
      <x:c r="M20" s="30" t="n">
        <x:f>IF(ISNUMBER(L20),IF(H20&gt;0,ROUNDUP(L20/H20,0),""),"")</x:f>
        <x:v>1</x:v>
      </x:c>
      <x:c r="N20" s="30" t="n">
        <x:f>IF(ISNUMBER(M20),M20*H20,"")</x:f>
        <x:v>1</x:v>
      </x:c>
      <x:c r="O20" s="30" t="n">
        <x:f>IF(K20=0,0,IF(ISNUMBER(E20),I20+J20+N20-E20*IF(C20="공구",1,'안내·설정'!$D$6),""))</x:f>
        <x:v>0</x:v>
      </x:c>
      <x:c r="P20" s="26"/>
      <x:c r="Q20" s="32" t="str">
        <x:f>IF(ISNUMBER(P20),IF(ISNUMBER(M20),P20*M20,""),"")</x:f>
      </x:c>
      <x:c r="R20" s="4" t="str">
        <x:v>사양·조달 보류</x:v>
      </x:c>
      <x:c r="S20" s="4"/>
      <x:c r="T20" s="4"/>
    </x:row>
    <x:row r="21" ht="58" customHeight="1">
      <x:c r="A21" s="4" t="str">
        <x:v>E02</x:v>
      </x:c>
      <x:c r="B21" s="4" t="str">
        <x:v>전원·보호</x:v>
      </x:c>
      <x:c r="C21" s="4" t="str">
        <x:v>기본</x:v>
      </x:c>
      <x:c r="D21" s="4" t="str">
        <x:v>배터리 지정 충전기</x:v>
      </x:c>
      <x:c r="E21" s="22" t="n">
        <x:v>1</x:v>
      </x:c>
      <x:c r="F21" s="22" t="n">
        <x:v>0</x:v>
      </x:c>
      <x:c r="G21" s="4" t="str">
        <x:v>개</x:v>
      </x:c>
      <x:c r="H21" s="22" t="n">
        <x:v>1</x:v>
      </x:c>
      <x:c r="I21" s="22" t="n">
        <x:v>0</x:v>
      </x:c>
      <x:c r="J21" s="22" t="n">
        <x:v>0</x:v>
      </x:c>
      <x:c r="K21" s="30" t="n">
        <x:f>1</x:f>
        <x:v>1</x:v>
      </x:c>
      <x:c r="L21" s="30" t="n">
        <x:f>IF(K21=0,0,IF(ISNUMBER(E21),MAX(0,(E21+F21*'안내·설정'!$D$12)*IF(C21="공구",1,'안내·설정'!$D$6)-I21-J21),""))</x:f>
        <x:v>1</x:v>
      </x:c>
      <x:c r="M21" s="30" t="n">
        <x:f>IF(ISNUMBER(L21),IF(H21&gt;0,ROUNDUP(L21/H21,0),""),"")</x:f>
        <x:v>1</x:v>
      </x:c>
      <x:c r="N21" s="30" t="n">
        <x:f>IF(ISNUMBER(M21),M21*H21,"")</x:f>
        <x:v>1</x:v>
      </x:c>
      <x:c r="O21" s="30" t="n">
        <x:f>IF(K21=0,0,IF(ISNUMBER(E21),I21+J21+N21-E21*IF(C21="공구",1,'안내·설정'!$D$6),""))</x:f>
        <x:v>0</x:v>
      </x:c>
      <x:c r="P21" s="26"/>
      <x:c r="Q21" s="32" t="str">
        <x:f>IF(ISNUMBER(P21),IF(ISNUMBER(M21),P21*M21,""),"")</x:f>
      </x:c>
      <x:c r="R21" s="4" t="str">
        <x:v>사양·조달 보류</x:v>
      </x:c>
      <x:c r="S21" s="4"/>
      <x:c r="T21" s="4"/>
    </x:row>
    <x:row r="22" ht="58" customHeight="1">
      <x:c r="A22" s="4" t="str">
        <x:v>E03</x:v>
      </x:c>
      <x:c r="B22" s="4" t="str">
        <x:v>전원·보호</x:v>
      </x:c>
      <x:c r="C22" s="4" t="str">
        <x:v>기본</x:v>
      </x:c>
      <x:c r="D22" s="4" t="str">
        <x:v>메인 DC 차단 스위치</x:v>
      </x:c>
      <x:c r="E22" s="22" t="n">
        <x:v>1</x:v>
      </x:c>
      <x:c r="F22" s="22" t="n">
        <x:v>0</x:v>
      </x:c>
      <x:c r="G22" s="4" t="str">
        <x:v>개</x:v>
      </x:c>
      <x:c r="H22" s="22" t="n">
        <x:v>1</x:v>
      </x:c>
      <x:c r="I22" s="22" t="n">
        <x:v>0</x:v>
      </x:c>
      <x:c r="J22" s="22" t="n">
        <x:v>0</x:v>
      </x:c>
      <x:c r="K22" s="30" t="n">
        <x:f>1</x:f>
        <x:v>1</x:v>
      </x:c>
      <x:c r="L22" s="30" t="n">
        <x:f>IF(K22=0,0,IF(ISNUMBER(E22),MAX(0,(E22+F22*'안내·설정'!$D$12)*IF(C22="공구",1,'안내·설정'!$D$6)-I22-J22),""))</x:f>
        <x:v>1</x:v>
      </x:c>
      <x:c r="M22" s="30" t="n">
        <x:f>IF(ISNUMBER(L22),IF(H22&gt;0,ROUNDUP(L22/H22,0),""),"")</x:f>
        <x:v>1</x:v>
      </x:c>
      <x:c r="N22" s="30" t="n">
        <x:f>IF(ISNUMBER(M22),M22*H22,"")</x:f>
        <x:v>1</x:v>
      </x:c>
      <x:c r="O22" s="30" t="n">
        <x:f>IF(K22=0,0,IF(ISNUMBER(E22),I22+J22+N22-E22*IF(C22="공구",1,'안내·설정'!$D$6),""))</x:f>
        <x:v>0</x:v>
      </x:c>
      <x:c r="P22" s="26"/>
      <x:c r="Q22" s="32" t="str">
        <x:f>IF(ISNUMBER(P22),IF(ISNUMBER(M22),P22*M22,""),"")</x:f>
      </x:c>
      <x:c r="R22" s="4" t="str">
        <x:v>사양·조달 보류</x:v>
      </x:c>
      <x:c r="S22" s="4"/>
      <x:c r="T22" s="4"/>
    </x:row>
    <x:row r="23" ht="58" customHeight="1">
      <x:c r="A23" s="4" t="str">
        <x:v>E04</x:v>
      </x:c>
      <x:c r="B23" s="4" t="str">
        <x:v>전원·보호</x:v>
      </x:c>
      <x:c r="C23" s="4" t="str">
        <x:v>기본</x:v>
      </x:c>
      <x:c r="D23" s="4" t="str">
        <x:v>절연 커버 양극 전원 버스</x:v>
      </x:c>
      <x:c r="E23" s="22" t="n">
        <x:v>1</x:v>
      </x:c>
      <x:c r="F23" s="22" t="n">
        <x:v>0</x:v>
      </x:c>
      <x:c r="G23" s="4" t="str">
        <x:v>개</x:v>
      </x:c>
      <x:c r="H23" s="22" t="n">
        <x:v>1</x:v>
      </x:c>
      <x:c r="I23" s="22" t="n">
        <x:v>0</x:v>
      </x:c>
      <x:c r="J23" s="22" t="n">
        <x:v>0</x:v>
      </x:c>
      <x:c r="K23" s="30" t="n">
        <x:f>1</x:f>
        <x:v>1</x:v>
      </x:c>
      <x:c r="L23" s="30" t="n">
        <x:f>IF(K23=0,0,IF(ISNUMBER(E23),MAX(0,(E23+F23*'안내·설정'!$D$12)*IF(C23="공구",1,'안내·설정'!$D$6)-I23-J23),""))</x:f>
        <x:v>1</x:v>
      </x:c>
      <x:c r="M23" s="30" t="n">
        <x:f>IF(ISNUMBER(L23),IF(H23&gt;0,ROUNDUP(L23/H23,0),""),"")</x:f>
        <x:v>1</x:v>
      </x:c>
      <x:c r="N23" s="30" t="n">
        <x:f>IF(ISNUMBER(M23),M23*H23,"")</x:f>
        <x:v>1</x:v>
      </x:c>
      <x:c r="O23" s="30" t="n">
        <x:f>IF(K23=0,0,IF(ISNUMBER(E23),I23+J23+N23-E23*IF(C23="공구",1,'안내·설정'!$D$6),""))</x:f>
        <x:v>0</x:v>
      </x:c>
      <x:c r="P23" s="26"/>
      <x:c r="Q23" s="32" t="str">
        <x:f>IF(ISNUMBER(P23),IF(ISNUMBER(M23),P23*M23,""),"")</x:f>
      </x:c>
      <x:c r="R23" s="4" t="str">
        <x:v>사양·조달 보류</x:v>
      </x:c>
      <x:c r="S23" s="4"/>
      <x:c r="T23" s="4"/>
    </x:row>
    <x:row r="24" ht="58" customHeight="1">
      <x:c r="A24" s="4" t="str">
        <x:v>E05</x:v>
      </x:c>
      <x:c r="B24" s="4" t="str">
        <x:v>전원·보호</x:v>
      </x:c>
      <x:c r="C24" s="4" t="str">
        <x:v>기본</x:v>
      </x:c>
      <x:c r="D24" s="4" t="str">
        <x:v>절연 커버 공통 음극 버스</x:v>
      </x:c>
      <x:c r="E24" s="22" t="n">
        <x:v>1</x:v>
      </x:c>
      <x:c r="F24" s="22" t="n">
        <x:v>0</x:v>
      </x:c>
      <x:c r="G24" s="4" t="str">
        <x:v>개</x:v>
      </x:c>
      <x:c r="H24" s="22" t="n">
        <x:v>1</x:v>
      </x:c>
      <x:c r="I24" s="22" t="n">
        <x:v>0</x:v>
      </x:c>
      <x:c r="J24" s="22" t="n">
        <x:v>0</x:v>
      </x:c>
      <x:c r="K24" s="30" t="n">
        <x:f>1</x:f>
        <x:v>1</x:v>
      </x:c>
      <x:c r="L24" s="30" t="n">
        <x:f>IF(K24=0,0,IF(ISNUMBER(E24),MAX(0,(E24+F24*'안내·설정'!$D$12)*IF(C24="공구",1,'안내·설정'!$D$6)-I24-J24),""))</x:f>
        <x:v>1</x:v>
      </x:c>
      <x:c r="M24" s="30" t="n">
        <x:f>IF(ISNUMBER(L24),IF(H24&gt;0,ROUNDUP(L24/H24,0),""),"")</x:f>
        <x:v>1</x:v>
      </x:c>
      <x:c r="N24" s="30" t="n">
        <x:f>IF(ISNUMBER(M24),M24*H24,"")</x:f>
        <x:v>1</x:v>
      </x:c>
      <x:c r="O24" s="30" t="n">
        <x:f>IF(K24=0,0,IF(ISNUMBER(E24),I24+J24+N24-E24*IF(C24="공구",1,'안내·설정'!$D$6),""))</x:f>
        <x:v>0</x:v>
      </x:c>
      <x:c r="P24" s="26"/>
      <x:c r="Q24" s="32" t="str">
        <x:f>IF(ISNUMBER(P24),IF(ISNUMBER(M24),P24*M24,""),"")</x:f>
      </x:c>
      <x:c r="R24" s="4" t="str">
        <x:v>사양·조달 보류</x:v>
      </x:c>
      <x:c r="S24" s="4"/>
      <x:c r="T24" s="4"/>
    </x:row>
    <x:row r="25" ht="58" customHeight="1">
      <x:c r="A25" s="4" t="str">
        <x:v>E06</x:v>
      </x:c>
      <x:c r="B25" s="4" t="str">
        <x:v>전원·보호</x:v>
      </x:c>
      <x:c r="C25" s="4" t="str">
        <x:v>기본</x:v>
      </x:c>
      <x:c r="D25" s="4" t="str">
        <x:v>DC 접촉기 + NO 보조접점</x:v>
      </x:c>
      <x:c r="E25" s="22" t="n">
        <x:v>1</x:v>
      </x:c>
      <x:c r="F25" s="22" t="n">
        <x:v>0</x:v>
      </x:c>
      <x:c r="G25" s="4" t="str">
        <x:v>세트</x:v>
      </x:c>
      <x:c r="H25" s="22" t="n">
        <x:v>1</x:v>
      </x:c>
      <x:c r="I25" s="22" t="n">
        <x:v>0</x:v>
      </x:c>
      <x:c r="J25" s="22" t="n">
        <x:v>0</x:v>
      </x:c>
      <x:c r="K25" s="30" t="n">
        <x:f>1</x:f>
        <x:v>1</x:v>
      </x:c>
      <x:c r="L25" s="30" t="n">
        <x:f>IF(K25=0,0,IF(ISNUMBER(E25),MAX(0,(E25+F25*'안내·설정'!$D$12)*IF(C25="공구",1,'안내·설정'!$D$6)-I25-J25),""))</x:f>
        <x:v>1</x:v>
      </x:c>
      <x:c r="M25" s="30" t="n">
        <x:f>IF(ISNUMBER(L25),IF(H25&gt;0,ROUNDUP(L25/H25,0),""),"")</x:f>
        <x:v>1</x:v>
      </x:c>
      <x:c r="N25" s="30" t="n">
        <x:f>IF(ISNUMBER(M25),M25*H25,"")</x:f>
        <x:v>1</x:v>
      </x:c>
      <x:c r="O25" s="30" t="n">
        <x:f>IF(K25=0,0,IF(ISNUMBER(E25),I25+J25+N25-E25*IF(C25="공구",1,'안내·설정'!$D$6),""))</x:f>
        <x:v>0</x:v>
      </x:c>
      <x:c r="P25" s="26"/>
      <x:c r="Q25" s="32" t="str">
        <x:f>IF(ISNUMBER(P25),IF(ISNUMBER(M25),P25*M25,""),"")</x:f>
      </x:c>
      <x:c r="R25" s="4" t="str">
        <x:v>사양·조달 보류</x:v>
      </x:c>
      <x:c r="S25" s="4"/>
      <x:c r="T25" s="4"/>
    </x:row>
    <x:row r="26" ht="58" customHeight="1">
      <x:c r="A26" s="4" t="str">
        <x:v>E07</x:v>
      </x:c>
      <x:c r="B26" s="4" t="str">
        <x:v>전원·보호</x:v>
      </x:c>
      <x:c r="C26" s="4" t="str">
        <x:v>기본</x:v>
      </x:c>
      <x:c r="D26" s="4" t="str">
        <x:v>접촉기 코일 서지 억제기</x:v>
      </x:c>
      <x:c r="E26" s="22" t="n">
        <x:v>1</x:v>
      </x:c>
      <x:c r="F26" s="22" t="n">
        <x:v>0</x:v>
      </x:c>
      <x:c r="G26" s="4" t="str">
        <x:v>개</x:v>
      </x:c>
      <x:c r="H26" s="22" t="n">
        <x:v>1</x:v>
      </x:c>
      <x:c r="I26" s="22" t="n">
        <x:v>0</x:v>
      </x:c>
      <x:c r="J26" s="22" t="n">
        <x:v>0</x:v>
      </x:c>
      <x:c r="K26" s="30" t="n">
        <x:f>1</x:f>
        <x:v>1</x:v>
      </x:c>
      <x:c r="L26" s="30" t="n">
        <x:f>IF(K26=0,0,IF(ISNUMBER(E26),MAX(0,(E26+F26*'안내·설정'!$D$12)*IF(C26="공구",1,'안내·설정'!$D$6)-I26-J26),""))</x:f>
        <x:v>1</x:v>
      </x:c>
      <x:c r="M26" s="30" t="n">
        <x:f>IF(ISNUMBER(L26),IF(H26&gt;0,ROUNDUP(L26/H26,0),""),"")</x:f>
        <x:v>1</x:v>
      </x:c>
      <x:c r="N26" s="30" t="n">
        <x:f>IF(ISNUMBER(M26),M26*H26,"")</x:f>
        <x:v>1</x:v>
      </x:c>
      <x:c r="O26" s="30" t="n">
        <x:f>IF(K26=0,0,IF(ISNUMBER(E26),I26+J26+N26-E26*IF(C26="공구",1,'안내·설정'!$D$6),""))</x:f>
        <x:v>0</x:v>
      </x:c>
      <x:c r="P26" s="26"/>
      <x:c r="Q26" s="32" t="str">
        <x:f>IF(ISNUMBER(P26),IF(ISNUMBER(M26),P26*M26,""),"")</x:f>
      </x:c>
      <x:c r="R26" s="4" t="str">
        <x:v>사양·조달 보류</x:v>
      </x:c>
      <x:c r="S26" s="4"/>
      <x:c r="T26" s="4"/>
    </x:row>
    <x:row r="27" ht="58" customHeight="1">
      <x:c r="A27" s="4" t="str">
        <x:v>E08</x:v>
      </x:c>
      <x:c r="B27" s="4" t="str">
        <x:v>전원·보호</x:v>
      </x:c>
      <x:c r="C27" s="4" t="str">
        <x:v>기본</x:v>
      </x:c>
      <x:c r="D27" s="4" t="str">
        <x:v>래칭 NC 비상정지 버튼</x:v>
      </x:c>
      <x:c r="E27" s="22" t="n">
        <x:v>1</x:v>
      </x:c>
      <x:c r="F27" s="22" t="n">
        <x:v>0</x:v>
      </x:c>
      <x:c r="G27" s="4" t="str">
        <x:v>개</x:v>
      </x:c>
      <x:c r="H27" s="22" t="n">
        <x:v>1</x:v>
      </x:c>
      <x:c r="I27" s="22" t="n">
        <x:v>0</x:v>
      </x:c>
      <x:c r="J27" s="22" t="n">
        <x:v>0</x:v>
      </x:c>
      <x:c r="K27" s="30" t="n">
        <x:f>1</x:f>
        <x:v>1</x:v>
      </x:c>
      <x:c r="L27" s="30" t="n">
        <x:f>IF(K27=0,0,IF(ISNUMBER(E27),MAX(0,(E27+F27*'안내·설정'!$D$12)*IF(C27="공구",1,'안내·설정'!$D$6)-I27-J27),""))</x:f>
        <x:v>1</x:v>
      </x:c>
      <x:c r="M27" s="30" t="n">
        <x:f>IF(ISNUMBER(L27),IF(H27&gt;0,ROUNDUP(L27/H27,0),""),"")</x:f>
        <x:v>1</x:v>
      </x:c>
      <x:c r="N27" s="30" t="n">
        <x:f>IF(ISNUMBER(M27),M27*H27,"")</x:f>
        <x:v>1</x:v>
      </x:c>
      <x:c r="O27" s="30" t="n">
        <x:f>IF(K27=0,0,IF(ISNUMBER(E27),I27+J27+N27-E27*IF(C27="공구",1,'안내·설정'!$D$6),""))</x:f>
        <x:v>0</x:v>
      </x:c>
      <x:c r="P27" s="26"/>
      <x:c r="Q27" s="32" t="str">
        <x:f>IF(ISNUMBER(P27),IF(ISNUMBER(M27),P27*M27,""),"")</x:f>
      </x:c>
      <x:c r="R27" s="4" t="str">
        <x:v>사양·조달 보류</x:v>
      </x:c>
      <x:c r="S27" s="4"/>
      <x:c r="T27" s="4"/>
    </x:row>
    <x:row r="28" ht="58" customHeight="1">
      <x:c r="A28" s="4" t="str">
        <x:v>E09</x:v>
      </x:c>
      <x:c r="B28" s="4" t="str">
        <x:v>전원·보호</x:v>
      </x:c>
      <x:c r="C28" s="4" t="str">
        <x:v>기본</x:v>
      </x:c>
      <x:c r="D28" s="4" t="str">
        <x:v>순간 NO 수동 재무장 버튼</x:v>
      </x:c>
      <x:c r="E28" s="22" t="n">
        <x:v>1</x:v>
      </x:c>
      <x:c r="F28" s="22" t="n">
        <x:v>0</x:v>
      </x:c>
      <x:c r="G28" s="4" t="str">
        <x:v>개</x:v>
      </x:c>
      <x:c r="H28" s="22" t="n">
        <x:v>1</x:v>
      </x:c>
      <x:c r="I28" s="22" t="n">
        <x:v>0</x:v>
      </x:c>
      <x:c r="J28" s="22" t="n">
        <x:v>0</x:v>
      </x:c>
      <x:c r="K28" s="30" t="n">
        <x:f>1</x:f>
        <x:v>1</x:v>
      </x:c>
      <x:c r="L28" s="30" t="n">
        <x:f>IF(K28=0,0,IF(ISNUMBER(E28),MAX(0,(E28+F28*'안내·설정'!$D$12)*IF(C28="공구",1,'안내·설정'!$D$6)-I28-J28),""))</x:f>
        <x:v>1</x:v>
      </x:c>
      <x:c r="M28" s="30" t="n">
        <x:f>IF(ISNUMBER(L28),IF(H28&gt;0,ROUNDUP(L28/H28,0),""),"")</x:f>
        <x:v>1</x:v>
      </x:c>
      <x:c r="N28" s="30" t="n">
        <x:f>IF(ISNUMBER(M28),M28*H28,"")</x:f>
        <x:v>1</x:v>
      </x:c>
      <x:c r="O28" s="30" t="n">
        <x:f>IF(K28=0,0,IF(ISNUMBER(E28),I28+J28+N28-E28*IF(C28="공구",1,'안내·설정'!$D$6),""))</x:f>
        <x:v>0</x:v>
      </x:c>
      <x:c r="P28" s="26"/>
      <x:c r="Q28" s="32" t="str">
        <x:f>IF(ISNUMBER(P28),IF(ISNUMBER(M28),P28*M28,""),"")</x:f>
      </x:c>
      <x:c r="R28" s="4" t="str">
        <x:v>사양·조달 보류</x:v>
      </x:c>
      <x:c r="S28" s="4"/>
      <x:c r="T28" s="4"/>
    </x:row>
    <x:row r="29" ht="58" customHeight="1">
      <x:c r="A29" s="4" t="str">
        <x:v>E10</x:v>
      </x:c>
      <x:c r="B29" s="4" t="str">
        <x:v>전원·보호</x:v>
      </x:c>
      <x:c r="C29" s="4" t="str">
        <x:v>기본</x:v>
      </x:c>
      <x:c r="D29" s="4" t="str">
        <x:v>24V class → 12V DC-DC</x:v>
      </x:c>
      <x:c r="E29" s="22" t="n">
        <x:v>1</x:v>
      </x:c>
      <x:c r="F29" s="22" t="n">
        <x:v>0</x:v>
      </x:c>
      <x:c r="G29" s="4" t="str">
        <x:v>개</x:v>
      </x:c>
      <x:c r="H29" s="22" t="n">
        <x:v>1</x:v>
      </x:c>
      <x:c r="I29" s="22" t="n">
        <x:v>0</x:v>
      </x:c>
      <x:c r="J29" s="22" t="n">
        <x:v>0</x:v>
      </x:c>
      <x:c r="K29" s="30" t="n">
        <x:f>1</x:f>
        <x:v>1</x:v>
      </x:c>
      <x:c r="L29" s="30" t="n">
        <x:f>IF(K29=0,0,IF(ISNUMBER(E29),MAX(0,(E29+F29*'안내·설정'!$D$12)*IF(C29="공구",1,'안내·설정'!$D$6)-I29-J29),""))</x:f>
        <x:v>1</x:v>
      </x:c>
      <x:c r="M29" s="30" t="n">
        <x:f>IF(ISNUMBER(L29),IF(H29&gt;0,ROUNDUP(L29/H29,0),""),"")</x:f>
        <x:v>1</x:v>
      </x:c>
      <x:c r="N29" s="30" t="n">
        <x:f>IF(ISNUMBER(M29),M29*H29,"")</x:f>
        <x:v>1</x:v>
      </x:c>
      <x:c r="O29" s="30" t="n">
        <x:f>IF(K29=0,0,IF(ISNUMBER(E29),I29+J29+N29-E29*IF(C29="공구",1,'안내·설정'!$D$6),""))</x:f>
        <x:v>0</x:v>
      </x:c>
      <x:c r="P29" s="26"/>
      <x:c r="Q29" s="32" t="str">
        <x:f>IF(ISNUMBER(P29),IF(ISNUMBER(M29),P29*M29,""),"")</x:f>
      </x:c>
      <x:c r="R29" s="4" t="str">
        <x:v>사양·조달 보류</x:v>
      </x:c>
      <x:c r="S29" s="4"/>
      <x:c r="T29" s="4"/>
    </x:row>
    <x:row r="30" ht="58" customHeight="1">
      <x:c r="A30" s="4" t="str">
        <x:v>E11</x:v>
      </x:c>
      <x:c r="B30" s="4" t="str">
        <x:v>전원·보호</x:v>
      </x:c>
      <x:c r="C30" s="4" t="str">
        <x:v>기본</x:v>
      </x:c>
      <x:c r="D30" s="4" t="str">
        <x:v>24V class → 5V DC-DC</x:v>
      </x:c>
      <x:c r="E30" s="22" t="n">
        <x:v>1</x:v>
      </x:c>
      <x:c r="F30" s="22" t="n">
        <x:v>0</x:v>
      </x:c>
      <x:c r="G30" s="4" t="str">
        <x:v>개</x:v>
      </x:c>
      <x:c r="H30" s="22" t="n">
        <x:v>1</x:v>
      </x:c>
      <x:c r="I30" s="22" t="n">
        <x:v>0</x:v>
      </x:c>
      <x:c r="J30" s="22" t="n">
        <x:v>0</x:v>
      </x:c>
      <x:c r="K30" s="30" t="n">
        <x:f>1</x:f>
        <x:v>1</x:v>
      </x:c>
      <x:c r="L30" s="30" t="n">
        <x:f>IF(K30=0,0,IF(ISNUMBER(E30),MAX(0,(E30+F30*'안내·설정'!$D$12)*IF(C30="공구",1,'안내·설정'!$D$6)-I30-J30),""))</x:f>
        <x:v>1</x:v>
      </x:c>
      <x:c r="M30" s="30" t="n">
        <x:f>IF(ISNUMBER(L30),IF(H30&gt;0,ROUNDUP(L30/H30,0),""),"")</x:f>
        <x:v>1</x:v>
      </x:c>
      <x:c r="N30" s="30" t="n">
        <x:f>IF(ISNUMBER(M30),M30*H30,"")</x:f>
        <x:v>1</x:v>
      </x:c>
      <x:c r="O30" s="30" t="n">
        <x:f>IF(K30=0,0,IF(ISNUMBER(E30),I30+J30+N30-E30*IF(C30="공구",1,'안내·설정'!$D$6),""))</x:f>
        <x:v>0</x:v>
      </x:c>
      <x:c r="P30" s="26"/>
      <x:c r="Q30" s="32" t="str">
        <x:f>IF(ISNUMBER(P30),IF(ISNUMBER(M30),P30*M30,""),"")</x:f>
      </x:c>
      <x:c r="R30" s="4" t="str">
        <x:v>사양·조달 보류</x:v>
      </x:c>
      <x:c r="S30" s="4"/>
      <x:c r="T30" s="4"/>
    </x:row>
    <x:row r="31" ht="58" customHeight="1">
      <x:c r="A31" s="4" t="str">
        <x:v>E12</x:v>
      </x:c>
      <x:c r="B31" s="4" t="str">
        <x:v>전원·보호</x:v>
      </x:c>
      <x:c r="C31" s="4" t="str">
        <x:v>기본</x:v>
      </x:c>
      <x:c r="D31" s="4" t="str">
        <x:v>접촉기 후단 좌/우 분기 접속부</x:v>
      </x:c>
      <x:c r="E31" s="22" t="n">
        <x:v>1</x:v>
      </x:c>
      <x:c r="F31" s="22" t="n">
        <x:v>0</x:v>
      </x:c>
      <x:c r="G31" s="4" t="str">
        <x:v>세트</x:v>
      </x:c>
      <x:c r="H31" s="22" t="n">
        <x:v>1</x:v>
      </x:c>
      <x:c r="I31" s="22" t="n">
        <x:v>0</x:v>
      </x:c>
      <x:c r="J31" s="22" t="n">
        <x:v>0</x:v>
      </x:c>
      <x:c r="K31" s="30" t="n">
        <x:f>1</x:f>
        <x:v>1</x:v>
      </x:c>
      <x:c r="L31" s="30" t="n">
        <x:f>IF(K31=0,0,IF(ISNUMBER(E31),MAX(0,(E31+F31*'안내·설정'!$D$12)*IF(C31="공구",1,'안내·설정'!$D$6)-I31-J31),""))</x:f>
        <x:v>1</x:v>
      </x:c>
      <x:c r="M31" s="30" t="n">
        <x:f>IF(ISNUMBER(L31),IF(H31&gt;0,ROUNDUP(L31/H31,0),""),"")</x:f>
        <x:v>1</x:v>
      </x:c>
      <x:c r="N31" s="30" t="n">
        <x:f>IF(ISNUMBER(M31),M31*H31,"")</x:f>
        <x:v>1</x:v>
      </x:c>
      <x:c r="O31" s="30" t="n">
        <x:f>IF(K31=0,0,IF(ISNUMBER(E31),I31+J31+N31-E31*IF(C31="공구",1,'안내·설정'!$D$6),""))</x:f>
        <x:v>0</x:v>
      </x:c>
      <x:c r="P31" s="26"/>
      <x:c r="Q31" s="32" t="str">
        <x:f>IF(ISNUMBER(P31),IF(ISNUMBER(M31),P31*M31,""),"")</x:f>
      </x:c>
      <x:c r="R31" s="4" t="str">
        <x:v>사양·조달 보류</x:v>
      </x:c>
      <x:c r="S31" s="4"/>
      <x:c r="T31" s="4"/>
    </x:row>
    <x:row r="32" ht="58" customHeight="1">
      <x:c r="A32" s="4" t="str">
        <x:v>E13</x:v>
      </x:c>
      <x:c r="B32" s="4" t="str">
        <x:v>전원·보호</x:v>
      </x:c>
      <x:c r="C32" s="4" t="str">
        <x:v>기본</x:v>
      </x:c>
      <x:c r="D32" s="4" t="str">
        <x:v>12V 출력 분배부</x:v>
      </x:c>
      <x:c r="E32" s="22" t="n">
        <x:v>1</x:v>
      </x:c>
      <x:c r="F32" s="22" t="n">
        <x:v>0</x:v>
      </x:c>
      <x:c r="G32" s="4" t="str">
        <x:v>세트</x:v>
      </x:c>
      <x:c r="H32" s="22" t="n">
        <x:v>1</x:v>
      </x:c>
      <x:c r="I32" s="22" t="n">
        <x:v>0</x:v>
      </x:c>
      <x:c r="J32" s="22" t="n">
        <x:v>0</x:v>
      </x:c>
      <x:c r="K32" s="30" t="n">
        <x:f>1</x:f>
        <x:v>1</x:v>
      </x:c>
      <x:c r="L32" s="30" t="n">
        <x:f>IF(K32=0,0,IF(ISNUMBER(E32),MAX(0,(E32+F32*'안내·설정'!$D$12)*IF(C32="공구",1,'안내·설정'!$D$6)-I32-J32),""))</x:f>
        <x:v>1</x:v>
      </x:c>
      <x:c r="M32" s="30" t="n">
        <x:f>IF(ISNUMBER(L32),IF(H32&gt;0,ROUNDUP(L32/H32,0),""),"")</x:f>
        <x:v>1</x:v>
      </x:c>
      <x:c r="N32" s="30" t="n">
        <x:f>IF(ISNUMBER(M32),M32*H32,"")</x:f>
        <x:v>1</x:v>
      </x:c>
      <x:c r="O32" s="30" t="n">
        <x:f>IF(K32=0,0,IF(ISNUMBER(E32),I32+J32+N32-E32*IF(C32="공구",1,'안내·설정'!$D$6),""))</x:f>
        <x:v>0</x:v>
      </x:c>
      <x:c r="P32" s="26"/>
      <x:c r="Q32" s="32" t="str">
        <x:f>IF(ISNUMBER(P32),IF(ISNUMBER(M32),P32*M32,""),"")</x:f>
      </x:c>
      <x:c r="R32" s="4" t="str">
        <x:v>사양·조달 보류</x:v>
      </x:c>
      <x:c r="S32" s="4"/>
      <x:c r="T32" s="4"/>
    </x:row>
    <x:row r="33" ht="58" customHeight="1">
      <x:c r="A33" s="4" t="str">
        <x:v>E14</x:v>
      </x:c>
      <x:c r="B33" s="4" t="str">
        <x:v>전원·보호</x:v>
      </x:c>
      <x:c r="C33" s="4" t="str">
        <x:v>기본</x:v>
      </x:c>
      <x:c r="D33" s="4" t="str">
        <x:v>5V 출력 분배부</x:v>
      </x:c>
      <x:c r="E33" s="22" t="n">
        <x:v>1</x:v>
      </x:c>
      <x:c r="F33" s="22" t="n">
        <x:v>0</x:v>
      </x:c>
      <x:c r="G33" s="4" t="str">
        <x:v>세트</x:v>
      </x:c>
      <x:c r="H33" s="22" t="n">
        <x:v>1</x:v>
      </x:c>
      <x:c r="I33" s="22" t="n">
        <x:v>0</x:v>
      </x:c>
      <x:c r="J33" s="22" t="n">
        <x:v>0</x:v>
      </x:c>
      <x:c r="K33" s="30" t="n">
        <x:f>1</x:f>
        <x:v>1</x:v>
      </x:c>
      <x:c r="L33" s="30" t="n">
        <x:f>IF(K33=0,0,IF(ISNUMBER(E33),MAX(0,(E33+F33*'안내·설정'!$D$12)*IF(C33="공구",1,'안내·설정'!$D$6)-I33-J33),""))</x:f>
        <x:v>1</x:v>
      </x:c>
      <x:c r="M33" s="30" t="n">
        <x:f>IF(ISNUMBER(L33),IF(H33&gt;0,ROUNDUP(L33/H33,0),""),"")</x:f>
        <x:v>1</x:v>
      </x:c>
      <x:c r="N33" s="30" t="n">
        <x:f>IF(ISNUMBER(M33),M33*H33,"")</x:f>
        <x:v>1</x:v>
      </x:c>
      <x:c r="O33" s="30" t="n">
        <x:f>IF(K33=0,0,IF(ISNUMBER(E33),I33+J33+N33-E33*IF(C33="공구",1,'안내·설정'!$D$6),""))</x:f>
        <x:v>0</x:v>
      </x:c>
      <x:c r="P33" s="26"/>
      <x:c r="Q33" s="32" t="str">
        <x:f>IF(ISNUMBER(P33),IF(ISNUMBER(M33),P33*M33,""),"")</x:f>
      </x:c>
      <x:c r="R33" s="4" t="str">
        <x:v>사양·조달 보류</x:v>
      </x:c>
      <x:c r="S33" s="4"/>
      <x:c r="T33" s="4"/>
    </x:row>
    <x:row r="34" ht="58" customHeight="1">
      <x:c r="A34" s="4" t="str">
        <x:v>E15</x:v>
      </x:c>
      <x:c r="B34" s="4" t="str">
        <x:v>전원·보호</x:v>
      </x:c>
      <x:c r="C34" s="4" t="str">
        <x:v>기본</x:v>
      </x:c>
      <x:c r="D34" s="4" t="str">
        <x:v>충전 분기 보호장치</x:v>
      </x:c>
      <x:c r="E34" s="22"/>
      <x:c r="F34" s="22" t="n">
        <x:v>0</x:v>
      </x:c>
      <x:c r="G34" s="4" t="str">
        <x:v>세트</x:v>
      </x:c>
      <x:c r="H34" s="22" t="n">
        <x:v>1</x:v>
      </x:c>
      <x:c r="I34" s="22" t="n">
        <x:v>0</x:v>
      </x:c>
      <x:c r="J34" s="22" t="n">
        <x:v>0</x:v>
      </x:c>
      <x:c r="K34" s="30" t="n">
        <x:f>1</x:f>
        <x:v>1</x:v>
      </x:c>
      <x:c r="L34" s="30" t="str">
        <x:f>IF(K34=0,0,IF(ISNUMBER(E34),MAX(0,(E34+F34*'안내·설정'!$D$12)*IF(C34="공구",1,'안내·설정'!$D$6)-I34-J34),""))</x:f>
      </x:c>
      <x:c r="M34" s="30" t="str">
        <x:f>IF(ISNUMBER(L34),IF(H34&gt;0,ROUNDUP(L34/H34,0),""),"")</x:f>
      </x:c>
      <x:c r="N34" s="30" t="str">
        <x:f>IF(ISNUMBER(M34),M34*H34,"")</x:f>
      </x:c>
      <x:c r="O34" s="30" t="str">
        <x:f>IF(K34=0,0,IF(ISNUMBER(E34),I34+J34+N34-E34*IF(C34="공구",1,'안내·설정'!$D$6),""))</x:f>
      </x:c>
      <x:c r="P34" s="26"/>
      <x:c r="Q34" s="32" t="str">
        <x:f>IF(ISNUMBER(P34),IF(ISNUMBER(M34),P34*M34,""),"")</x:f>
      </x:c>
      <x:c r="R34" s="4" t="str">
        <x:v>사양·조달 보류</x:v>
      </x:c>
      <x:c r="S34" s="4"/>
      <x:c r="T34" s="4"/>
    </x:row>
    <x:row r="35" ht="58" customHeight="1">
      <x:c r="A35" s="4" t="str">
        <x:v>F01</x:v>
      </x:c>
      <x:c r="B35" s="4" t="str">
        <x:v>퓨즈·홀더</x:v>
      </x:c>
      <x:c r="C35" s="4" t="str">
        <x:v>기본</x:v>
      </x:c>
      <x:c r="D35" s="4" t="str">
        <x:v>메인 퓨즈</x:v>
      </x:c>
      <x:c r="E35" s="22" t="n">
        <x:v>1</x:v>
      </x:c>
      <x:c r="F35" s="22" t="n">
        <x:v>1</x:v>
      </x:c>
      <x:c r="G35" s="4" t="str">
        <x:v>개</x:v>
      </x:c>
      <x:c r="H35" s="22" t="n">
        <x:v>1</x:v>
      </x:c>
      <x:c r="I35" s="22" t="n">
        <x:v>0</x:v>
      </x:c>
      <x:c r="J35" s="22" t="n">
        <x:v>0</x:v>
      </x:c>
      <x:c r="K35" s="30" t="n">
        <x:f>1</x:f>
        <x:v>1</x:v>
      </x:c>
      <x:c r="L35" s="30" t="n">
        <x:f>IF(K35=0,0,IF(ISNUMBER(E35),MAX(0,(E35+F35*'안내·설정'!$D$12)*IF(C35="공구",1,'안내·설정'!$D$6)-I35-J35),""))</x:f>
        <x:v>2</x:v>
      </x:c>
      <x:c r="M35" s="30" t="n">
        <x:f>IF(ISNUMBER(L35),IF(H35&gt;0,ROUNDUP(L35/H35,0),""),"")</x:f>
        <x:v>2</x:v>
      </x:c>
      <x:c r="N35" s="30" t="n">
        <x:f>IF(ISNUMBER(M35),M35*H35,"")</x:f>
        <x:v>2</x:v>
      </x:c>
      <x:c r="O35" s="30" t="n">
        <x:f>IF(K35=0,0,IF(ISNUMBER(E35),I35+J35+N35-E35*IF(C35="공구",1,'안내·설정'!$D$6),""))</x:f>
        <x:v>1</x:v>
      </x:c>
      <x:c r="P35" s="26"/>
      <x:c r="Q35" s="32" t="str">
        <x:f>IF(ISNUMBER(P35),IF(ISNUMBER(M35),P35*M35,""),"")</x:f>
      </x:c>
      <x:c r="R35" s="4" t="str">
        <x:v>사양·조달 보류</x:v>
      </x:c>
      <x:c r="S35" s="4"/>
      <x:c r="T35" s="4"/>
    </x:row>
    <x:row r="36" ht="58" customHeight="1">
      <x:c r="A36" s="4" t="str">
        <x:v>F02</x:v>
      </x:c>
      <x:c r="B36" s="4" t="str">
        <x:v>퓨즈·홀더</x:v>
      </x:c>
      <x:c r="C36" s="4" t="str">
        <x:v>기본</x:v>
      </x:c>
      <x:c r="D36" s="4" t="str">
        <x:v>모터 입력 분기 퓨즈</x:v>
      </x:c>
      <x:c r="E36" s="22" t="n">
        <x:v>2</x:v>
      </x:c>
      <x:c r="F36" s="22" t="n">
        <x:v>2</x:v>
      </x:c>
      <x:c r="G36" s="4" t="str">
        <x:v>개</x:v>
      </x:c>
      <x:c r="H36" s="22" t="n">
        <x:v>1</x:v>
      </x:c>
      <x:c r="I36" s="22" t="n">
        <x:v>0</x:v>
      </x:c>
      <x:c r="J36" s="22" t="n">
        <x:v>0</x:v>
      </x:c>
      <x:c r="K36" s="30" t="n">
        <x:f>1</x:f>
        <x:v>1</x:v>
      </x:c>
      <x:c r="L36" s="30" t="n">
        <x:f>IF(K36=0,0,IF(ISNUMBER(E36),MAX(0,(E36+F36*'안내·설정'!$D$12)*IF(C36="공구",1,'안내·설정'!$D$6)-I36-J36),""))</x:f>
        <x:v>4</x:v>
      </x:c>
      <x:c r="M36" s="30" t="n">
        <x:f>IF(ISNUMBER(L36),IF(H36&gt;0,ROUNDUP(L36/H36,0),""),"")</x:f>
        <x:v>4</x:v>
      </x:c>
      <x:c r="N36" s="30" t="n">
        <x:f>IF(ISNUMBER(M36),M36*H36,"")</x:f>
        <x:v>4</x:v>
      </x:c>
      <x:c r="O36" s="30" t="n">
        <x:f>IF(K36=0,0,IF(ISNUMBER(E36),I36+J36+N36-E36*IF(C36="공구",1,'안내·설정'!$D$6),""))</x:f>
        <x:v>2</x:v>
      </x:c>
      <x:c r="P36" s="26"/>
      <x:c r="Q36" s="32" t="str">
        <x:f>IF(ISNUMBER(P36),IF(ISNUMBER(M36),P36*M36,""),"")</x:f>
      </x:c>
      <x:c r="R36" s="4" t="str">
        <x:v>사양·조달 보류</x:v>
      </x:c>
      <x:c r="S36" s="4"/>
      <x:c r="T36" s="4"/>
    </x:row>
    <x:row r="37" ht="58" customHeight="1">
      <x:c r="A37" s="4" t="str">
        <x:v>F03</x:v>
      </x:c>
      <x:c r="B37" s="4" t="str">
        <x:v>퓨즈·홀더</x:v>
      </x:c>
      <x:c r="C37" s="4" t="str">
        <x:v>기본</x:v>
      </x:c>
      <x:c r="D37" s="4" t="str">
        <x:v>12V 컨버터 입력 퓨즈</x:v>
      </x:c>
      <x:c r="E37" s="22" t="n">
        <x:v>1</x:v>
      </x:c>
      <x:c r="F37" s="22" t="n">
        <x:v>1</x:v>
      </x:c>
      <x:c r="G37" s="4" t="str">
        <x:v>개</x:v>
      </x:c>
      <x:c r="H37" s="22" t="n">
        <x:v>1</x:v>
      </x:c>
      <x:c r="I37" s="22" t="n">
        <x:v>0</x:v>
      </x:c>
      <x:c r="J37" s="22" t="n">
        <x:v>0</x:v>
      </x:c>
      <x:c r="K37" s="30" t="n">
        <x:f>1</x:f>
        <x:v>1</x:v>
      </x:c>
      <x:c r="L37" s="30" t="n">
        <x:f>IF(K37=0,0,IF(ISNUMBER(E37),MAX(0,(E37+F37*'안내·설정'!$D$12)*IF(C37="공구",1,'안내·설정'!$D$6)-I37-J37),""))</x:f>
        <x:v>2</x:v>
      </x:c>
      <x:c r="M37" s="30" t="n">
        <x:f>IF(ISNUMBER(L37),IF(H37&gt;0,ROUNDUP(L37/H37,0),""),"")</x:f>
        <x:v>2</x:v>
      </x:c>
      <x:c r="N37" s="30" t="n">
        <x:f>IF(ISNUMBER(M37),M37*H37,"")</x:f>
        <x:v>2</x:v>
      </x:c>
      <x:c r="O37" s="30" t="n">
        <x:f>IF(K37=0,0,IF(ISNUMBER(E37),I37+J37+N37-E37*IF(C37="공구",1,'안내·설정'!$D$6),""))</x:f>
        <x:v>1</x:v>
      </x:c>
      <x:c r="P37" s="26"/>
      <x:c r="Q37" s="32" t="str">
        <x:f>IF(ISNUMBER(P37),IF(ISNUMBER(M37),P37*M37,""),"")</x:f>
      </x:c>
      <x:c r="R37" s="4" t="str">
        <x:v>사양·조달 보류</x:v>
      </x:c>
      <x:c r="S37" s="4"/>
      <x:c r="T37" s="4"/>
    </x:row>
    <x:row r="38" ht="58" customHeight="1">
      <x:c r="A38" s="4" t="str">
        <x:v>F04</x:v>
      </x:c>
      <x:c r="B38" s="4" t="str">
        <x:v>퓨즈·홀더</x:v>
      </x:c>
      <x:c r="C38" s="4" t="str">
        <x:v>기본</x:v>
      </x:c>
      <x:c r="D38" s="4" t="str">
        <x:v>5V 컨버터 입력 퓨즈</x:v>
      </x:c>
      <x:c r="E38" s="22" t="n">
        <x:v>1</x:v>
      </x:c>
      <x:c r="F38" s="22" t="n">
        <x:v>1</x:v>
      </x:c>
      <x:c r="G38" s="4" t="str">
        <x:v>개</x:v>
      </x:c>
      <x:c r="H38" s="22" t="n">
        <x:v>1</x:v>
      </x:c>
      <x:c r="I38" s="22" t="n">
        <x:v>0</x:v>
      </x:c>
      <x:c r="J38" s="22" t="n">
        <x:v>0</x:v>
      </x:c>
      <x:c r="K38" s="30" t="n">
        <x:f>1</x:f>
        <x:v>1</x:v>
      </x:c>
      <x:c r="L38" s="30" t="n">
        <x:f>IF(K38=0,0,IF(ISNUMBER(E38),MAX(0,(E38+F38*'안내·설정'!$D$12)*IF(C38="공구",1,'안내·설정'!$D$6)-I38-J38),""))</x:f>
        <x:v>2</x:v>
      </x:c>
      <x:c r="M38" s="30" t="n">
        <x:f>IF(ISNUMBER(L38),IF(H38&gt;0,ROUNDUP(L38/H38,0),""),"")</x:f>
        <x:v>2</x:v>
      </x:c>
      <x:c r="N38" s="30" t="n">
        <x:f>IF(ISNUMBER(M38),M38*H38,"")</x:f>
        <x:v>2</x:v>
      </x:c>
      <x:c r="O38" s="30" t="n">
        <x:f>IF(K38=0,0,IF(ISNUMBER(E38),I38+J38+N38-E38*IF(C38="공구",1,'안내·설정'!$D$6),""))</x:f>
        <x:v>1</x:v>
      </x:c>
      <x:c r="P38" s="26"/>
      <x:c r="Q38" s="32" t="str">
        <x:f>IF(ISNUMBER(P38),IF(ISNUMBER(M38),P38*M38,""),"")</x:f>
      </x:c>
      <x:c r="R38" s="4" t="str">
        <x:v>사양·조달 보류</x:v>
      </x:c>
      <x:c r="S38" s="4"/>
      <x:c r="T38" s="4"/>
    </x:row>
    <x:row r="39" ht="58" customHeight="1">
      <x:c r="A39" s="4" t="str">
        <x:v>F05</x:v>
      </x:c>
      <x:c r="B39" s="4" t="str">
        <x:v>퓨즈·홀더</x:v>
      </x:c>
      <x:c r="C39" s="4" t="str">
        <x:v>조향옵션</x:v>
      </x:c>
      <x:c r="D39" s="4" t="str">
        <x:v>12V 서보 출력 퓨즈</x:v>
      </x:c>
      <x:c r="E39" s="22" t="n">
        <x:v>2</x:v>
      </x:c>
      <x:c r="F39" s="22" t="n">
        <x:v>2</x:v>
      </x:c>
      <x:c r="G39" s="4" t="str">
        <x:v>개</x:v>
      </x:c>
      <x:c r="H39" s="22" t="n">
        <x:v>1</x:v>
      </x:c>
      <x:c r="I39" s="22" t="n">
        <x:v>0</x:v>
      </x:c>
      <x:c r="J39" s="22" t="n">
        <x:v>0</x:v>
      </x:c>
      <x:c r="K39" s="30" t="n">
        <x:f>'안내·설정'!$D$7</x:f>
        <x:v>0</x:v>
      </x:c>
      <x:c r="L39" s="30" t="n">
        <x:f>IF(K39=0,0,IF(ISNUMBER(E39),MAX(0,(E39+F39*'안내·설정'!$D$12)*IF(C39="공구",1,'안내·설정'!$D$6)-I39-J39),""))</x:f>
        <x:v>0</x:v>
      </x:c>
      <x:c r="M39" s="30" t="n">
        <x:f>IF(ISNUMBER(L39),IF(H39&gt;0,ROUNDUP(L39/H39,0),""),"")</x:f>
        <x:v>0</x:v>
      </x:c>
      <x:c r="N39" s="30" t="n">
        <x:f>IF(ISNUMBER(M39),M39*H39,"")</x:f>
        <x:v>0</x:v>
      </x:c>
      <x:c r="O39" s="30" t="n">
        <x:f>IF(K39=0,0,IF(ISNUMBER(E39),I39+J39+N39-E39*IF(C39="공구",1,'안내·설정'!$D$6),""))</x:f>
        <x:v>0</x:v>
      </x:c>
      <x:c r="P39" s="26"/>
      <x:c r="Q39" s="32" t="str">
        <x:f>IF(ISNUMBER(P39),IF(ISNUMBER(M39),P39*M39,""),"")</x:f>
      </x:c>
      <x:c r="R39" s="4" t="str">
        <x:v>사양·조달 보류</x:v>
      </x:c>
      <x:c r="S39" s="4"/>
      <x:c r="T39" s="4"/>
    </x:row>
    <x:row r="40" ht="58" customHeight="1">
      <x:c r="A40" s="4" t="str">
        <x:v>F06</x:v>
      </x:c>
      <x:c r="B40" s="4" t="str">
        <x:v>퓨즈·홀더</x:v>
      </x:c>
      <x:c r="C40" s="4" t="str">
        <x:v>기본</x:v>
      </x:c>
      <x:c r="D40" s="4" t="str">
        <x:v>Orange Pi·허브 5V 분기 퓨즈</x:v>
      </x:c>
      <x:c r="E40" s="22" t="n">
        <x:v>2</x:v>
      </x:c>
      <x:c r="F40" s="22" t="n">
        <x:v>2</x:v>
      </x:c>
      <x:c r="G40" s="4" t="str">
        <x:v>개</x:v>
      </x:c>
      <x:c r="H40" s="22" t="n">
        <x:v>1</x:v>
      </x:c>
      <x:c r="I40" s="22" t="n">
        <x:v>0</x:v>
      </x:c>
      <x:c r="J40" s="22" t="n">
        <x:v>0</x:v>
      </x:c>
      <x:c r="K40" s="30" t="n">
        <x:f>1</x:f>
        <x:v>1</x:v>
      </x:c>
      <x:c r="L40" s="30" t="n">
        <x:f>IF(K40=0,0,IF(ISNUMBER(E40),MAX(0,(E40+F40*'안내·설정'!$D$12)*IF(C40="공구",1,'안내·설정'!$D$6)-I40-J40),""))</x:f>
        <x:v>4</x:v>
      </x:c>
      <x:c r="M40" s="30" t="n">
        <x:f>IF(ISNUMBER(L40),IF(H40&gt;0,ROUNDUP(L40/H40,0),""),"")</x:f>
        <x:v>4</x:v>
      </x:c>
      <x:c r="N40" s="30" t="n">
        <x:f>IF(ISNUMBER(M40),M40*H40,"")</x:f>
        <x:v>4</x:v>
      </x:c>
      <x:c r="O40" s="30" t="n">
        <x:f>IF(K40=0,0,IF(ISNUMBER(E40),I40+J40+N40-E40*IF(C40="공구",1,'안내·설정'!$D$6),""))</x:f>
        <x:v>2</x:v>
      </x:c>
      <x:c r="P40" s="26"/>
      <x:c r="Q40" s="32" t="str">
        <x:f>IF(ISNUMBER(P40),IF(ISNUMBER(M40),P40*M40,""),"")</x:f>
      </x:c>
      <x:c r="R40" s="4" t="str">
        <x:v>사양·조달 보류</x:v>
      </x:c>
      <x:c r="S40" s="4"/>
      <x:c r="T40" s="4"/>
    </x:row>
    <x:row r="41" ht="58" customHeight="1">
      <x:c r="A41" s="4" t="str">
        <x:v>F07</x:v>
      </x:c>
      <x:c r="B41" s="4" t="str">
        <x:v>퓨즈·홀더</x:v>
      </x:c>
      <x:c r="C41" s="4" t="str">
        <x:v>기본</x:v>
      </x:c>
      <x:c r="D41" s="4" t="str">
        <x:v>접촉기 코일 퓨즈</x:v>
      </x:c>
      <x:c r="E41" s="22" t="n">
        <x:v>1</x:v>
      </x:c>
      <x:c r="F41" s="22" t="n">
        <x:v>1</x:v>
      </x:c>
      <x:c r="G41" s="4" t="str">
        <x:v>개</x:v>
      </x:c>
      <x:c r="H41" s="22" t="n">
        <x:v>1</x:v>
      </x:c>
      <x:c r="I41" s="22" t="n">
        <x:v>0</x:v>
      </x:c>
      <x:c r="J41" s="22" t="n">
        <x:v>0</x:v>
      </x:c>
      <x:c r="K41" s="30" t="n">
        <x:f>1</x:f>
        <x:v>1</x:v>
      </x:c>
      <x:c r="L41" s="30" t="n">
        <x:f>IF(K41=0,0,IF(ISNUMBER(E41),MAX(0,(E41+F41*'안내·설정'!$D$12)*IF(C41="공구",1,'안내·설정'!$D$6)-I41-J41),""))</x:f>
        <x:v>2</x:v>
      </x:c>
      <x:c r="M41" s="30" t="n">
        <x:f>IF(ISNUMBER(L41),IF(H41&gt;0,ROUNDUP(L41/H41,0),""),"")</x:f>
        <x:v>2</x:v>
      </x:c>
      <x:c r="N41" s="30" t="n">
        <x:f>IF(ISNUMBER(M41),M41*H41,"")</x:f>
        <x:v>2</x:v>
      </x:c>
      <x:c r="O41" s="30" t="n">
        <x:f>IF(K41=0,0,IF(ISNUMBER(E41),I41+J41+N41-E41*IF(C41="공구",1,'안내·설정'!$D$6),""))</x:f>
        <x:v>1</x:v>
      </x:c>
      <x:c r="P41" s="26"/>
      <x:c r="Q41" s="32" t="str">
        <x:f>IF(ISNUMBER(P41),IF(ISNUMBER(M41),P41*M41,""),"")</x:f>
      </x:c>
      <x:c r="R41" s="4" t="str">
        <x:v>사양·조달 보류</x:v>
      </x:c>
      <x:c r="S41" s="4"/>
      <x:c r="T41" s="4"/>
    </x:row>
    <x:row r="42" ht="58" customHeight="1">
      <x:c r="A42" s="4" t="str">
        <x:v>F08</x:v>
      </x:c>
      <x:c r="B42" s="4" t="str">
        <x:v>퓨즈·홀더</x:v>
      </x:c>
      <x:c r="C42" s="4" t="str">
        <x:v>조향옵션</x:v>
      </x:c>
      <x:c r="D42" s="4" t="str">
        <x:v>버퍼 5V 분기 퓨즈</x:v>
      </x:c>
      <x:c r="E42" s="22" t="n">
        <x:v>1</x:v>
      </x:c>
      <x:c r="F42" s="22" t="n">
        <x:v>1</x:v>
      </x:c>
      <x:c r="G42" s="4" t="str">
        <x:v>개</x:v>
      </x:c>
      <x:c r="H42" s="22" t="n">
        <x:v>1</x:v>
      </x:c>
      <x:c r="I42" s="22" t="n">
        <x:v>0</x:v>
      </x:c>
      <x:c r="J42" s="22" t="n">
        <x:v>0</x:v>
      </x:c>
      <x:c r="K42" s="30" t="n">
        <x:f>'안내·설정'!$D$7</x:f>
        <x:v>0</x:v>
      </x:c>
      <x:c r="L42" s="30" t="n">
        <x:f>IF(K42=0,0,IF(ISNUMBER(E42),MAX(0,(E42+F42*'안내·설정'!$D$12)*IF(C42="공구",1,'안내·설정'!$D$6)-I42-J42),""))</x:f>
        <x:v>0</x:v>
      </x:c>
      <x:c r="M42" s="30" t="n">
        <x:f>IF(ISNUMBER(L42),IF(H42&gt;0,ROUNDUP(L42/H42,0),""),"")</x:f>
        <x:v>0</x:v>
      </x:c>
      <x:c r="N42" s="30" t="n">
        <x:f>IF(ISNUMBER(M42),M42*H42,"")</x:f>
        <x:v>0</x:v>
      </x:c>
      <x:c r="O42" s="30" t="n">
        <x:f>IF(K42=0,0,IF(ISNUMBER(E42),I42+J42+N42-E42*IF(C42="공구",1,'안내·설정'!$D$6),""))</x:f>
        <x:v>0</x:v>
      </x:c>
      <x:c r="P42" s="26"/>
      <x:c r="Q42" s="32" t="str">
        <x:f>IF(ISNUMBER(P42),IF(ISNUMBER(M42),P42*M42,""),"")</x:f>
      </x:c>
      <x:c r="R42" s="4" t="str">
        <x:v>사양·조달 보류</x:v>
      </x:c>
      <x:c r="S42" s="4"/>
      <x:c r="T42" s="4"/>
    </x:row>
    <x:row r="43" ht="58" customHeight="1">
      <x:c r="A43" s="4" t="str">
        <x:v>F09</x:v>
      </x:c>
      <x:c r="B43" s="4" t="str">
        <x:v>퓨즈·홀더</x:v>
      </x:c>
      <x:c r="C43" s="4" t="str">
        <x:v>기본</x:v>
      </x:c>
      <x:c r="D43" s="4" t="str">
        <x:v>메인 퓨즈 홀더 + 절연 커버</x:v>
      </x:c>
      <x:c r="E43" s="22" t="n">
        <x:v>1</x:v>
      </x:c>
      <x:c r="F43" s="22" t="n">
        <x:v>0</x:v>
      </x:c>
      <x:c r="G43" s="4" t="str">
        <x:v>개</x:v>
      </x:c>
      <x:c r="H43" s="22" t="n">
        <x:v>1</x:v>
      </x:c>
      <x:c r="I43" s="22" t="n">
        <x:v>0</x:v>
      </x:c>
      <x:c r="J43" s="22" t="n">
        <x:v>0</x:v>
      </x:c>
      <x:c r="K43" s="30" t="n">
        <x:f>1</x:f>
        <x:v>1</x:v>
      </x:c>
      <x:c r="L43" s="30" t="n">
        <x:f>IF(K43=0,0,IF(ISNUMBER(E43),MAX(0,(E43+F43*'안내·설정'!$D$12)*IF(C43="공구",1,'안내·설정'!$D$6)-I43-J43),""))</x:f>
        <x:v>1</x:v>
      </x:c>
      <x:c r="M43" s="30" t="n">
        <x:f>IF(ISNUMBER(L43),IF(H43&gt;0,ROUNDUP(L43/H43,0),""),"")</x:f>
        <x:v>1</x:v>
      </x:c>
      <x:c r="N43" s="30" t="n">
        <x:f>IF(ISNUMBER(M43),M43*H43,"")</x:f>
        <x:v>1</x:v>
      </x:c>
      <x:c r="O43" s="30" t="n">
        <x:f>IF(K43=0,0,IF(ISNUMBER(E43),I43+J43+N43-E43*IF(C43="공구",1,'안내·설정'!$D$6),""))</x:f>
        <x:v>0</x:v>
      </x:c>
      <x:c r="P43" s="26"/>
      <x:c r="Q43" s="32" t="str">
        <x:f>IF(ISNUMBER(P43),IF(ISNUMBER(M43),P43*M43,""),"")</x:f>
      </x:c>
      <x:c r="R43" s="4" t="str">
        <x:v>사양·조달 보류</x:v>
      </x:c>
      <x:c r="S43" s="4"/>
      <x:c r="T43" s="4"/>
    </x:row>
    <x:row r="44" ht="58" customHeight="1">
      <x:c r="A44" s="4" t="str">
        <x:v>F10</x:v>
      </x:c>
      <x:c r="B44" s="4" t="str">
        <x:v>퓨즈·홀더</x:v>
      </x:c>
      <x:c r="C44" s="4" t="str">
        <x:v>기본</x:v>
      </x:c>
      <x:c r="D44" s="4" t="str">
        <x:v>24V 입력 분기 퓨즈 홀더</x:v>
      </x:c>
      <x:c r="E44" s="22" t="n">
        <x:v>4</x:v>
      </x:c>
      <x:c r="F44" s="22" t="n">
        <x:v>0</x:v>
      </x:c>
      <x:c r="G44" s="4" t="str">
        <x:v>개</x:v>
      </x:c>
      <x:c r="H44" s="22" t="n">
        <x:v>1</x:v>
      </x:c>
      <x:c r="I44" s="22" t="n">
        <x:v>0</x:v>
      </x:c>
      <x:c r="J44" s="22" t="n">
        <x:v>0</x:v>
      </x:c>
      <x:c r="K44" s="30" t="n">
        <x:f>1</x:f>
        <x:v>1</x:v>
      </x:c>
      <x:c r="L44" s="30" t="n">
        <x:f>IF(K44=0,0,IF(ISNUMBER(E44),MAX(0,(E44+F44*'안내·설정'!$D$12)*IF(C44="공구",1,'안내·설정'!$D$6)-I44-J44),""))</x:f>
        <x:v>4</x:v>
      </x:c>
      <x:c r="M44" s="30" t="n">
        <x:f>IF(ISNUMBER(L44),IF(H44&gt;0,ROUNDUP(L44/H44,0),""),"")</x:f>
        <x:v>4</x:v>
      </x:c>
      <x:c r="N44" s="30" t="n">
        <x:f>IF(ISNUMBER(M44),M44*H44,"")</x:f>
        <x:v>4</x:v>
      </x:c>
      <x:c r="O44" s="30" t="n">
        <x:f>IF(K44=0,0,IF(ISNUMBER(E44),I44+J44+N44-E44*IF(C44="공구",1,'안내·설정'!$D$6),""))</x:f>
        <x:v>0</x:v>
      </x:c>
      <x:c r="P44" s="26"/>
      <x:c r="Q44" s="32" t="str">
        <x:f>IF(ISNUMBER(P44),IF(ISNUMBER(M44),P44*M44,""),"")</x:f>
      </x:c>
      <x:c r="R44" s="4" t="str">
        <x:v>사양·조달 보류</x:v>
      </x:c>
      <x:c r="S44" s="4"/>
      <x:c r="T44" s="4"/>
    </x:row>
    <x:row r="45" ht="58" customHeight="1">
      <x:c r="A45" s="4" t="str">
        <x:v>F11</x:v>
      </x:c>
      <x:c r="B45" s="4" t="str">
        <x:v>퓨즈·홀더</x:v>
      </x:c>
      <x:c r="C45" s="4" t="str">
        <x:v>기본</x:v>
      </x:c>
      <x:c r="D45" s="4" t="str">
        <x:v>5V 출력 분기 퓨즈 홀더</x:v>
      </x:c>
      <x:c r="E45" s="22" t="n">
        <x:v>2</x:v>
      </x:c>
      <x:c r="F45" s="22" t="n">
        <x:v>0</x:v>
      </x:c>
      <x:c r="G45" s="4" t="str">
        <x:v>개</x:v>
      </x:c>
      <x:c r="H45" s="22" t="n">
        <x:v>1</x:v>
      </x:c>
      <x:c r="I45" s="22" t="n">
        <x:v>0</x:v>
      </x:c>
      <x:c r="J45" s="22" t="n">
        <x:v>0</x:v>
      </x:c>
      <x:c r="K45" s="30" t="n">
        <x:f>1</x:f>
        <x:v>1</x:v>
      </x:c>
      <x:c r="L45" s="30" t="n">
        <x:f>IF(K45=0,0,IF(ISNUMBER(E45),MAX(0,(E45+F45*'안내·설정'!$D$12)*IF(C45="공구",1,'안내·설정'!$D$6)-I45-J45),""))</x:f>
        <x:v>2</x:v>
      </x:c>
      <x:c r="M45" s="30" t="n">
        <x:f>IF(ISNUMBER(L45),IF(H45&gt;0,ROUNDUP(L45/H45,0),""),"")</x:f>
        <x:v>2</x:v>
      </x:c>
      <x:c r="N45" s="30" t="n">
        <x:f>IF(ISNUMBER(M45),M45*H45,"")</x:f>
        <x:v>2</x:v>
      </x:c>
      <x:c r="O45" s="30" t="n">
        <x:f>IF(K45=0,0,IF(ISNUMBER(E45),I45+J45+N45-E45*IF(C45="공구",1,'안내·설정'!$D$6),""))</x:f>
        <x:v>0</x:v>
      </x:c>
      <x:c r="P45" s="26"/>
      <x:c r="Q45" s="32" t="str">
        <x:f>IF(ISNUMBER(P45),IF(ISNUMBER(M45),P45*M45,""),"")</x:f>
      </x:c>
      <x:c r="R45" s="4" t="str">
        <x:v>사양·조달 보류</x:v>
      </x:c>
      <x:c r="S45" s="4"/>
      <x:c r="T45" s="4"/>
    </x:row>
    <x:row r="46" ht="58" customHeight="1">
      <x:c r="A46" s="4" t="str">
        <x:v>F12</x:v>
      </x:c>
      <x:c r="B46" s="4" t="str">
        <x:v>퓨즈·홀더</x:v>
      </x:c>
      <x:c r="C46" s="4" t="str">
        <x:v>기본</x:v>
      </x:c>
      <x:c r="D46" s="4" t="str">
        <x:v>12V 코일 퓨즈 홀더</x:v>
      </x:c>
      <x:c r="E46" s="22" t="n">
        <x:v>1</x:v>
      </x:c>
      <x:c r="F46" s="22" t="n">
        <x:v>0</x:v>
      </x:c>
      <x:c r="G46" s="4" t="str">
        <x:v>개</x:v>
      </x:c>
      <x:c r="H46" s="22" t="n">
        <x:v>1</x:v>
      </x:c>
      <x:c r="I46" s="22" t="n">
        <x:v>0</x:v>
      </x:c>
      <x:c r="J46" s="22" t="n">
        <x:v>0</x:v>
      </x:c>
      <x:c r="K46" s="30" t="n">
        <x:f>1</x:f>
        <x:v>1</x:v>
      </x:c>
      <x:c r="L46" s="30" t="n">
        <x:f>IF(K46=0,0,IF(ISNUMBER(E46),MAX(0,(E46+F46*'안내·설정'!$D$12)*IF(C46="공구",1,'안내·설정'!$D$6)-I46-J46),""))</x:f>
        <x:v>1</x:v>
      </x:c>
      <x:c r="M46" s="30" t="n">
        <x:f>IF(ISNUMBER(L46),IF(H46&gt;0,ROUNDUP(L46/H46,0),""),"")</x:f>
        <x:v>1</x:v>
      </x:c>
      <x:c r="N46" s="30" t="n">
        <x:f>IF(ISNUMBER(M46),M46*H46,"")</x:f>
        <x:v>1</x:v>
      </x:c>
      <x:c r="O46" s="30" t="n">
        <x:f>IF(K46=0,0,IF(ISNUMBER(E46),I46+J46+N46-E46*IF(C46="공구",1,'안내·설정'!$D$6),""))</x:f>
        <x:v>0</x:v>
      </x:c>
      <x:c r="P46" s="26"/>
      <x:c r="Q46" s="32" t="str">
        <x:f>IF(ISNUMBER(P46),IF(ISNUMBER(M46),P46*M46,""),"")</x:f>
      </x:c>
      <x:c r="R46" s="4" t="str">
        <x:v>사양·조달 보류</x:v>
      </x:c>
      <x:c r="S46" s="4"/>
      <x:c r="T46" s="4"/>
    </x:row>
    <x:row r="47" ht="58" customHeight="1">
      <x:c r="A47" s="4" t="str">
        <x:v>F13</x:v>
      </x:c>
      <x:c r="B47" s="4" t="str">
        <x:v>퓨즈·홀더</x:v>
      </x:c>
      <x:c r="C47" s="4" t="str">
        <x:v>조향옵션</x:v>
      </x:c>
      <x:c r="D47" s="4" t="str">
        <x:v>서보 퓨즈 홀더</x:v>
      </x:c>
      <x:c r="E47" s="22" t="n">
        <x:v>2</x:v>
      </x:c>
      <x:c r="F47" s="22" t="n">
        <x:v>0</x:v>
      </x:c>
      <x:c r="G47" s="4" t="str">
        <x:v>개</x:v>
      </x:c>
      <x:c r="H47" s="22" t="n">
        <x:v>1</x:v>
      </x:c>
      <x:c r="I47" s="22" t="n">
        <x:v>0</x:v>
      </x:c>
      <x:c r="J47" s="22" t="n">
        <x:v>0</x:v>
      </x:c>
      <x:c r="K47" s="30" t="n">
        <x:f>'안내·설정'!$D$7</x:f>
        <x:v>0</x:v>
      </x:c>
      <x:c r="L47" s="30" t="n">
        <x:f>IF(K47=0,0,IF(ISNUMBER(E47),MAX(0,(E47+F47*'안내·설정'!$D$12)*IF(C47="공구",1,'안내·설정'!$D$6)-I47-J47),""))</x:f>
        <x:v>0</x:v>
      </x:c>
      <x:c r="M47" s="30" t="n">
        <x:f>IF(ISNUMBER(L47),IF(H47&gt;0,ROUNDUP(L47/H47,0),""),"")</x:f>
        <x:v>0</x:v>
      </x:c>
      <x:c r="N47" s="30" t="n">
        <x:f>IF(ISNUMBER(M47),M47*H47,"")</x:f>
        <x:v>0</x:v>
      </x:c>
      <x:c r="O47" s="30" t="n">
        <x:f>IF(K47=0,0,IF(ISNUMBER(E47),I47+J47+N47-E47*IF(C47="공구",1,'안내·설정'!$D$6),""))</x:f>
        <x:v>0</x:v>
      </x:c>
      <x:c r="P47" s="26"/>
      <x:c r="Q47" s="32" t="str">
        <x:f>IF(ISNUMBER(P47),IF(ISNUMBER(M47),P47*M47,""),"")</x:f>
      </x:c>
      <x:c r="R47" s="4" t="str">
        <x:v>사양·조달 보류</x:v>
      </x:c>
      <x:c r="S47" s="4"/>
      <x:c r="T47" s="4"/>
    </x:row>
    <x:row r="48" ht="58" customHeight="1">
      <x:c r="A48" s="4" t="str">
        <x:v>F14</x:v>
      </x:c>
      <x:c r="B48" s="4" t="str">
        <x:v>퓨즈·홀더</x:v>
      </x:c>
      <x:c r="C48" s="4" t="str">
        <x:v>조향옵션</x:v>
      </x:c>
      <x:c r="D48" s="4" t="str">
        <x:v>5V 버퍼 퓨즈 홀더</x:v>
      </x:c>
      <x:c r="E48" s="22" t="n">
        <x:v>1</x:v>
      </x:c>
      <x:c r="F48" s="22" t="n">
        <x:v>0</x:v>
      </x:c>
      <x:c r="G48" s="4" t="str">
        <x:v>개</x:v>
      </x:c>
      <x:c r="H48" s="22" t="n">
        <x:v>1</x:v>
      </x:c>
      <x:c r="I48" s="22" t="n">
        <x:v>0</x:v>
      </x:c>
      <x:c r="J48" s="22" t="n">
        <x:v>0</x:v>
      </x:c>
      <x:c r="K48" s="30" t="n">
        <x:f>'안내·설정'!$D$7</x:f>
        <x:v>0</x:v>
      </x:c>
      <x:c r="L48" s="30" t="n">
        <x:f>IF(K48=0,0,IF(ISNUMBER(E48),MAX(0,(E48+F48*'안내·설정'!$D$12)*IF(C48="공구",1,'안내·설정'!$D$6)-I48-J48),""))</x:f>
        <x:v>0</x:v>
      </x:c>
      <x:c r="M48" s="30" t="n">
        <x:f>IF(ISNUMBER(L48),IF(H48&gt;0,ROUNDUP(L48/H48,0),""),"")</x:f>
        <x:v>0</x:v>
      </x:c>
      <x:c r="N48" s="30" t="n">
        <x:f>IF(ISNUMBER(M48),M48*H48,"")</x:f>
        <x:v>0</x:v>
      </x:c>
      <x:c r="O48" s="30" t="n">
        <x:f>IF(K48=0,0,IF(ISNUMBER(E48),I48+J48+N48-E48*IF(C48="공구",1,'안내·설정'!$D$6),""))</x:f>
        <x:v>0</x:v>
      </x:c>
      <x:c r="P48" s="26"/>
      <x:c r="Q48" s="32" t="str">
        <x:f>IF(ISNUMBER(P48),IF(ISNUMBER(M48),P48*M48,""),"")</x:f>
      </x:c>
      <x:c r="R48" s="4" t="str">
        <x:v>사양·조달 보류</x:v>
      </x:c>
      <x:c r="S48" s="4"/>
      <x:c r="T48" s="4"/>
    </x:row>
    <x:row r="49" ht="58" customHeight="1">
      <x:c r="A49" s="4" t="str">
        <x:v>D01</x:v>
      </x:c>
      <x:c r="B49" s="4" t="str">
        <x:v>구동·조향</x:v>
      </x:c>
      <x:c r="C49" s="4" t="str">
        <x:v>기본</x:v>
      </x:c>
      <x:c r="D49" s="4" t="str">
        <x:v>브러시드 DC 감속모터</x:v>
      </x:c>
      <x:c r="E49" s="22" t="n">
        <x:v>2</x:v>
      </x:c>
      <x:c r="F49" s="22" t="n">
        <x:v>0</x:v>
      </x:c>
      <x:c r="G49" s="4" t="str">
        <x:v>개</x:v>
      </x:c>
      <x:c r="H49" s="22" t="n">
        <x:v>1</x:v>
      </x:c>
      <x:c r="I49" s="22" t="n">
        <x:v>0</x:v>
      </x:c>
      <x:c r="J49" s="22" t="n">
        <x:v>0</x:v>
      </x:c>
      <x:c r="K49" s="30" t="n">
        <x:f>1</x:f>
        <x:v>1</x:v>
      </x:c>
      <x:c r="L49" s="30" t="n">
        <x:f>IF(K49=0,0,IF(ISNUMBER(E49),MAX(0,(E49+F49*'안내·설정'!$D$12)*IF(C49="공구",1,'안내·설정'!$D$6)-I49-J49),""))</x:f>
        <x:v>2</x:v>
      </x:c>
      <x:c r="M49" s="30" t="n">
        <x:f>IF(ISNUMBER(L49),IF(H49&gt;0,ROUNDUP(L49/H49,0),""),"")</x:f>
        <x:v>2</x:v>
      </x:c>
      <x:c r="N49" s="30" t="n">
        <x:f>IF(ISNUMBER(M49),M49*H49,"")</x:f>
        <x:v>2</x:v>
      </x:c>
      <x:c r="O49" s="30" t="n">
        <x:f>IF(K49=0,0,IF(ISNUMBER(E49),I49+J49+N49-E49*IF(C49="공구",1,'안내·설정'!$D$6),""))</x:f>
        <x:v>0</x:v>
      </x:c>
      <x:c r="P49" s="26"/>
      <x:c r="Q49" s="32" t="str">
        <x:f>IF(ISNUMBER(P49),IF(ISNUMBER(M49),P49*M49,""),"")</x:f>
      </x:c>
      <x:c r="R49" s="4" t="str">
        <x:v>사양·조달 보류</x:v>
      </x:c>
      <x:c r="S49" s="4"/>
      <x:c r="T49" s="4"/>
    </x:row>
    <x:row r="50" ht="58" customHeight="1">
      <x:c r="A50" s="4" t="str">
        <x:v>D02</x:v>
      </x:c>
      <x:c r="B50" s="4" t="str">
        <x:v>구동·조향</x:v>
      </x:c>
      <x:c r="C50" s="4" t="str">
        <x:v>기본</x:v>
      </x:c>
      <x:c r="D50" s="4" t="str">
        <x:v>모터 드라이버</x:v>
      </x:c>
      <x:c r="E50" s="22" t="n">
        <x:v>2</x:v>
      </x:c>
      <x:c r="F50" s="22" t="n">
        <x:v>0</x:v>
      </x:c>
      <x:c r="G50" s="4" t="str">
        <x:v>개</x:v>
      </x:c>
      <x:c r="H50" s="22" t="n">
        <x:v>1</x:v>
      </x:c>
      <x:c r="I50" s="22" t="n">
        <x:v>0</x:v>
      </x:c>
      <x:c r="J50" s="22" t="n">
        <x:v>0</x:v>
      </x:c>
      <x:c r="K50" s="30" t="n">
        <x:f>1</x:f>
        <x:v>1</x:v>
      </x:c>
      <x:c r="L50" s="30" t="n">
        <x:f>IF(K50=0,0,IF(ISNUMBER(E50),MAX(0,(E50+F50*'안내·설정'!$D$12)*IF(C50="공구",1,'안내·설정'!$D$6)-I50-J50),""))</x:f>
        <x:v>2</x:v>
      </x:c>
      <x:c r="M50" s="30" t="n">
        <x:f>IF(ISNUMBER(L50),IF(H50&gt;0,ROUNDUP(L50/H50,0),""),"")</x:f>
        <x:v>2</x:v>
      </x:c>
      <x:c r="N50" s="30" t="n">
        <x:f>IF(ISNUMBER(M50),M50*H50,"")</x:f>
        <x:v>2</x:v>
      </x:c>
      <x:c r="O50" s="30" t="n">
        <x:f>IF(K50=0,0,IF(ISNUMBER(E50),I50+J50+N50-E50*IF(C50="공구",1,'안내·설정'!$D$6),""))</x:f>
        <x:v>0</x:v>
      </x:c>
      <x:c r="P50" s="26"/>
      <x:c r="Q50" s="32" t="str">
        <x:f>IF(ISNUMBER(P50),IF(ISNUMBER(M50),P50*M50,""),"")</x:f>
      </x:c>
      <x:c r="R50" s="4" t="str">
        <x:v>사양·조달 보류</x:v>
      </x:c>
      <x:c r="S50" s="4"/>
      <x:c r="T50" s="4"/>
    </x:row>
    <x:row r="51" ht="58" customHeight="1">
      <x:c r="A51" s="4" t="str">
        <x:v>D03</x:v>
      </x:c>
      <x:c r="B51" s="4" t="str">
        <x:v>구동·조향</x:v>
      </x:c>
      <x:c r="C51" s="4" t="str">
        <x:v>조향옵션</x:v>
      </x:c>
      <x:c r="D51" s="4" t="str">
        <x:v>고토크 조향 서보</x:v>
      </x:c>
      <x:c r="E51" s="22" t="n">
        <x:v>2</x:v>
      </x:c>
      <x:c r="F51" s="22" t="n">
        <x:v>0</x:v>
      </x:c>
      <x:c r="G51" s="4" t="str">
        <x:v>개</x:v>
      </x:c>
      <x:c r="H51" s="22" t="n">
        <x:v>1</x:v>
      </x:c>
      <x:c r="I51" s="22" t="n">
        <x:v>0</x:v>
      </x:c>
      <x:c r="J51" s="22" t="n">
        <x:v>0</x:v>
      </x:c>
      <x:c r="K51" s="30" t="n">
        <x:f>'안내·설정'!$D$7</x:f>
        <x:v>0</x:v>
      </x:c>
      <x:c r="L51" s="30" t="n">
        <x:f>IF(K51=0,0,IF(ISNUMBER(E51),MAX(0,(E51+F51*'안내·설정'!$D$12)*IF(C51="공구",1,'안내·설정'!$D$6)-I51-J51),""))</x:f>
        <x:v>0</x:v>
      </x:c>
      <x:c r="M51" s="30" t="n">
        <x:f>IF(ISNUMBER(L51),IF(H51&gt;0,ROUNDUP(L51/H51,0),""),"")</x:f>
        <x:v>0</x:v>
      </x:c>
      <x:c r="N51" s="30" t="n">
        <x:f>IF(ISNUMBER(M51),M51*H51,"")</x:f>
        <x:v>0</x:v>
      </x:c>
      <x:c r="O51" s="30" t="n">
        <x:f>IF(K51=0,0,IF(ISNUMBER(E51),I51+J51+N51-E51*IF(C51="공구",1,'안내·설정'!$D$6),""))</x:f>
        <x:v>0</x:v>
      </x:c>
      <x:c r="P51" s="26"/>
      <x:c r="Q51" s="32" t="str">
        <x:f>IF(ISNUMBER(P51),IF(ISNUMBER(M51),P51*M51,""),"")</x:f>
      </x:c>
      <x:c r="R51" s="4" t="str">
        <x:v>사양·조달 보류</x:v>
      </x:c>
      <x:c r="S51" s="4"/>
      <x:c r="T51" s="4"/>
    </x:row>
    <x:row r="52" ht="58" customHeight="1">
      <x:c r="A52" s="4" t="str">
        <x:v>D04</x:v>
      </x:c>
      <x:c r="B52" s="4" t="str">
        <x:v>구동·조향</x:v>
      </x:c>
      <x:c r="C52" s="4" t="str">
        <x:v>기본</x:v>
      </x:c>
      <x:c r="D52" s="4" t="str">
        <x:v>독립 제동·주차 유지 장치</x:v>
      </x:c>
      <x:c r="E52" s="22"/>
      <x:c r="F52" s="22" t="n">
        <x:v>0</x:v>
      </x:c>
      <x:c r="G52" s="4" t="str">
        <x:v>세트</x:v>
      </x:c>
      <x:c r="H52" s="22" t="n">
        <x:v>1</x:v>
      </x:c>
      <x:c r="I52" s="22" t="n">
        <x:v>0</x:v>
      </x:c>
      <x:c r="J52" s="22" t="n">
        <x:v>0</x:v>
      </x:c>
      <x:c r="K52" s="30" t="n">
        <x:f>1</x:f>
        <x:v>1</x:v>
      </x:c>
      <x:c r="L52" s="30" t="str">
        <x:f>IF(K52=0,0,IF(ISNUMBER(E52),MAX(0,(E52+F52*'안내·설정'!$D$12)*IF(C52="공구",1,'안내·설정'!$D$6)-I52-J52),""))</x:f>
      </x:c>
      <x:c r="M52" s="30" t="str">
        <x:f>IF(ISNUMBER(L52),IF(H52&gt;0,ROUNDUP(L52/H52,0),""),"")</x:f>
      </x:c>
      <x:c r="N52" s="30" t="str">
        <x:f>IF(ISNUMBER(M52),M52*H52,"")</x:f>
      </x:c>
      <x:c r="O52" s="30" t="str">
        <x:f>IF(K52=0,0,IF(ISNUMBER(E52),I52+J52+N52-E52*IF(C52="공구",1,'안내·설정'!$D$6),""))</x:f>
      </x:c>
      <x:c r="P52" s="26"/>
      <x:c r="Q52" s="32" t="str">
        <x:f>IF(ISNUMBER(P52),IF(ISNUMBER(M52),P52*M52,""),"")</x:f>
      </x:c>
      <x:c r="R52" s="4" t="str">
        <x:v>사양·조달 보류</x:v>
      </x:c>
      <x:c r="S52" s="4"/>
      <x:c r="T52" s="4"/>
    </x:row>
    <x:row r="53" ht="58" customHeight="1">
      <x:c r="A53" s="4" t="str">
        <x:v>D05</x:v>
      </x:c>
      <x:c r="B53" s="4" t="str">
        <x:v>구동·조향</x:v>
      </x:c>
      <x:c r="C53" s="4" t="str">
        <x:v>선택보완</x:v>
      </x:c>
      <x:c r="D53" s="4" t="str">
        <x:v>휠/모터 엔코더</x:v>
      </x:c>
      <x:c r="E53" s="22" t="n">
        <x:v>2</x:v>
      </x:c>
      <x:c r="F53" s="22" t="n">
        <x:v>0</x:v>
      </x:c>
      <x:c r="G53" s="4" t="str">
        <x:v>개</x:v>
      </x:c>
      <x:c r="H53" s="22" t="n">
        <x:v>1</x:v>
      </x:c>
      <x:c r="I53" s="22" t="n">
        <x:v>0</x:v>
      </x:c>
      <x:c r="J53" s="22" t="n">
        <x:v>0</x:v>
      </x:c>
      <x:c r="K53" s="30" t="n">
        <x:f>'안내·설정'!$D$11</x:f>
        <x:v>0</x:v>
      </x:c>
      <x:c r="L53" s="30" t="n">
        <x:f>IF(K53=0,0,IF(ISNUMBER(E53),MAX(0,(E53+F53*'안내·설정'!$D$12)*IF(C53="공구",1,'안내·설정'!$D$6)-I53-J53),""))</x:f>
        <x:v>0</x:v>
      </x:c>
      <x:c r="M53" s="30" t="n">
        <x:f>IF(ISNUMBER(L53),IF(H53&gt;0,ROUNDUP(L53/H53,0),""),"")</x:f>
        <x:v>0</x:v>
      </x:c>
      <x:c r="N53" s="30" t="n">
        <x:f>IF(ISNUMBER(M53),M53*H53,"")</x:f>
        <x:v>0</x:v>
      </x:c>
      <x:c r="O53" s="30" t="n">
        <x:f>IF(K53=0,0,IF(ISNUMBER(E53),I53+J53+N53-E53*IF(C53="공구",1,'안내·설정'!$D$6),""))</x:f>
        <x:v>0</x:v>
      </x:c>
      <x:c r="P53" s="26"/>
      <x:c r="Q53" s="32" t="str">
        <x:f>IF(ISNUMBER(P53),IF(ISNUMBER(M53),P53*M53,""),"")</x:f>
      </x:c>
      <x:c r="R53" s="4" t="str">
        <x:v>사양·조달 보류</x:v>
      </x:c>
      <x:c r="S53" s="4"/>
      <x:c r="T53" s="4"/>
    </x:row>
    <x:row r="54" ht="58" customHeight="1">
      <x:c r="A54" s="4" t="str">
        <x:v>D06</x:v>
      </x:c>
      <x:c r="B54" s="4" t="str">
        <x:v>구동·조향</x:v>
      </x:c>
      <x:c r="C54" s="4" t="str">
        <x:v>조향옵션</x:v>
      </x:c>
      <x:c r="D54" s="4" t="str">
        <x:v>서보 혼·출력 체결부</x:v>
      </x:c>
      <x:c r="E54" s="22" t="n">
        <x:v>2</x:v>
      </x:c>
      <x:c r="F54" s="22" t="n">
        <x:v>0</x:v>
      </x:c>
      <x:c r="G54" s="4" t="str">
        <x:v>세트</x:v>
      </x:c>
      <x:c r="H54" s="22" t="n">
        <x:v>1</x:v>
      </x:c>
      <x:c r="I54" s="22" t="n">
        <x:v>0</x:v>
      </x:c>
      <x:c r="J54" s="22" t="n">
        <x:v>0</x:v>
      </x:c>
      <x:c r="K54" s="30" t="n">
        <x:f>'안내·설정'!$D$7</x:f>
        <x:v>0</x:v>
      </x:c>
      <x:c r="L54" s="30" t="n">
        <x:f>IF(K54=0,0,IF(ISNUMBER(E54),MAX(0,(E54+F54*'안내·설정'!$D$12)*IF(C54="공구",1,'안내·설정'!$D$6)-I54-J54),""))</x:f>
        <x:v>0</x:v>
      </x:c>
      <x:c r="M54" s="30" t="n">
        <x:f>IF(ISNUMBER(L54),IF(H54&gt;0,ROUNDUP(L54/H54,0),""),"")</x:f>
        <x:v>0</x:v>
      </x:c>
      <x:c r="N54" s="30" t="n">
        <x:f>IF(ISNUMBER(M54),M54*H54,"")</x:f>
        <x:v>0</x:v>
      </x:c>
      <x:c r="O54" s="30" t="n">
        <x:f>IF(K54=0,0,IF(ISNUMBER(E54),I54+J54+N54-E54*IF(C54="공구",1,'안내·설정'!$D$6),""))</x:f>
        <x:v>0</x:v>
      </x:c>
      <x:c r="P54" s="26"/>
      <x:c r="Q54" s="32" t="str">
        <x:f>IF(ISNUMBER(P54),IF(ISNUMBER(M54),P54*M54,""),"")</x:f>
      </x:c>
      <x:c r="R54" s="4" t="str">
        <x:v>사양·조달 보류</x:v>
      </x:c>
      <x:c r="S54" s="4"/>
      <x:c r="T54" s="4"/>
    </x:row>
    <x:row r="55" ht="58" customHeight="1">
      <x:c r="A55" s="4" t="str">
        <x:v>D07</x:v>
      </x:c>
      <x:c r="B55" s="4" t="str">
        <x:v>구동·조향</x:v>
      </x:c>
      <x:c r="C55" s="4" t="str">
        <x:v>조향옵션</x:v>
      </x:c>
      <x:c r="D55" s="4" t="str">
        <x:v>좌우 조향 링크·로드엔드·너클</x:v>
      </x:c>
      <x:c r="E55" s="22"/>
      <x:c r="F55" s="22" t="n">
        <x:v>0</x:v>
      </x:c>
      <x:c r="G55" s="4" t="str">
        <x:v>세트</x:v>
      </x:c>
      <x:c r="H55" s="22" t="n">
        <x:v>1</x:v>
      </x:c>
      <x:c r="I55" s="22" t="n">
        <x:v>0</x:v>
      </x:c>
      <x:c r="J55" s="22" t="n">
        <x:v>0</x:v>
      </x:c>
      <x:c r="K55" s="30" t="n">
        <x:f>'안내·설정'!$D$7</x:f>
        <x:v>0</x:v>
      </x:c>
      <x:c r="L55" s="30" t="n">
        <x:f>IF(K55=0,0,IF(ISNUMBER(E55),MAX(0,(E55+F55*'안내·설정'!$D$12)*IF(C55="공구",1,'안내·설정'!$D$6)-I55-J55),""))</x:f>
        <x:v>0</x:v>
      </x:c>
      <x:c r="M55" s="30" t="n">
        <x:f>IF(ISNUMBER(L55),IF(H55&gt;0,ROUNDUP(L55/H55,0),""),"")</x:f>
        <x:v>0</x:v>
      </x:c>
      <x:c r="N55" s="30" t="n">
        <x:f>IF(ISNUMBER(M55),M55*H55,"")</x:f>
        <x:v>0</x:v>
      </x:c>
      <x:c r="O55" s="30" t="n">
        <x:f>IF(K55=0,0,IF(ISNUMBER(E55),I55+J55+N55-E55*IF(C55="공구",1,'안내·설정'!$D$6),""))</x:f>
        <x:v>0</x:v>
      </x:c>
      <x:c r="P55" s="26"/>
      <x:c r="Q55" s="32" t="str">
        <x:f>IF(ISNUMBER(P55),IF(ISNUMBER(M55),P55*M55,""),"")</x:f>
      </x:c>
      <x:c r="R55" s="4" t="str">
        <x:v>사양·조달 보류</x:v>
      </x:c>
      <x:c r="S55" s="4"/>
      <x:c r="T55" s="4"/>
    </x:row>
    <x:row r="56" ht="58" customHeight="1">
      <x:c r="A56" s="4" t="str">
        <x:v>B01</x:v>
      </x:c>
      <x:c r="B56" s="4" t="str">
        <x:v>브레드보드·수동소자</x:v>
      </x:c>
      <x:c r="C56" s="4" t="str">
        <x:v>기본</x:v>
      </x:c>
      <x:c r="D56" s="4" t="str">
        <x:v>400접점 브레드보드</x:v>
      </x:c>
      <x:c r="E56" s="22" t="n">
        <x:v>1</x:v>
      </x:c>
      <x:c r="F56" s="22" t="n">
        <x:v>1</x:v>
      </x:c>
      <x:c r="G56" s="4" t="str">
        <x:v>개</x:v>
      </x:c>
      <x:c r="H56" s="22" t="n">
        <x:v>1</x:v>
      </x:c>
      <x:c r="I56" s="22" t="n">
        <x:v>0</x:v>
      </x:c>
      <x:c r="J56" s="22" t="n">
        <x:v>0</x:v>
      </x:c>
      <x:c r="K56" s="30" t="n">
        <x:f>1</x:f>
        <x:v>1</x:v>
      </x:c>
      <x:c r="L56" s="30" t="n">
        <x:f>IF(K56=0,0,IF(ISNUMBER(E56),MAX(0,(E56+F56*'안내·설정'!$D$12)*IF(C56="공구",1,'안내·설정'!$D$6)-I56-J56),""))</x:f>
        <x:v>2</x:v>
      </x:c>
      <x:c r="M56" s="30" t="n">
        <x:f>IF(ISNUMBER(L56),IF(H56&gt;0,ROUNDUP(L56/H56,0),""),"")</x:f>
        <x:v>2</x:v>
      </x:c>
      <x:c r="N56" s="30" t="n">
        <x:f>IF(ISNUMBER(M56),M56*H56,"")</x:f>
        <x:v>2</x:v>
      </x:c>
      <x:c r="O56" s="30" t="n">
        <x:f>IF(K56=0,0,IF(ISNUMBER(E56),I56+J56+N56-E56*IF(C56="공구",1,'안내·설정'!$D$6),""))</x:f>
        <x:v>1</x:v>
      </x:c>
      <x:c r="P56" s="26" t="n">
        <x:v>900</x:v>
      </x:c>
      <x:c r="Q56" s="32" t="n">
        <x:f>IF(ISNUMBER(P56),IF(ISNUMBER(M56),P56*M56,""),"")</x:f>
        <x:v>1800</x:v>
      </x:c>
      <x:c r="R56" s="4" t="str">
        <x:v>국내출고 재확인</x:v>
      </x:c>
      <x:c r="S56" s="4" t="str">
        <x:v>P05</x:v>
      </x:c>
      <x:c r="T56" s="4" t="str">
        <x:v>https://www.jenomall.com/goods/goods_view.php?goodsNo=1000012080</x:v>
      </x:c>
    </x:row>
    <x:row r="57" ht="58" customHeight="1">
      <x:c r="A57" s="4" t="str">
        <x:v>B02</x:v>
      </x:c>
      <x:c r="B57" s="4" t="str">
        <x:v>브레드보드·수동소자</x:v>
      </x:c>
      <x:c r="C57" s="4" t="str">
        <x:v>기본</x:v>
      </x:c>
      <x:c r="D57" s="4" t="str">
        <x:v>1kΩ 축형 저항</x:v>
      </x:c>
      <x:c r="E57" s="22" t="n">
        <x:v>2</x:v>
      </x:c>
      <x:c r="F57" s="22" t="n">
        <x:v>8</x:v>
      </x:c>
      <x:c r="G57" s="4" t="str">
        <x:v>개</x:v>
      </x:c>
      <x:c r="H57" s="22" t="n">
        <x:v>10</x:v>
      </x:c>
      <x:c r="I57" s="22" t="n">
        <x:v>0</x:v>
      </x:c>
      <x:c r="J57" s="22" t="n">
        <x:v>0</x:v>
      </x:c>
      <x:c r="K57" s="30" t="n">
        <x:f>1</x:f>
        <x:v>1</x:v>
      </x:c>
      <x:c r="L57" s="30" t="n">
        <x:f>IF(K57=0,0,IF(ISNUMBER(E57),MAX(0,(E57+F57*'안내·설정'!$D$12)*IF(C57="공구",1,'안내·설정'!$D$6)-I57-J57),""))</x:f>
        <x:v>10</x:v>
      </x:c>
      <x:c r="M57" s="30" t="n">
        <x:f>IF(ISNUMBER(L57),IF(H57&gt;0,ROUNDUP(L57/H57,0),""),"")</x:f>
        <x:v>1</x:v>
      </x:c>
      <x:c r="N57" s="30" t="n">
        <x:f>IF(ISNUMBER(M57),M57*H57,"")</x:f>
        <x:v>10</x:v>
      </x:c>
      <x:c r="O57" s="30" t="n">
        <x:f>IF(K57=0,0,IF(ISNUMBER(E57),I57+J57+N57-E57*IF(C57="공구",1,'안내·설정'!$D$6),""))</x:f>
        <x:v>8</x:v>
      </x:c>
      <x:c r="P57" s="26" t="n">
        <x:v>330</x:v>
      </x:c>
      <x:c r="Q57" s="32" t="n">
        <x:f>IF(ISNUMBER(P57),IF(ISNUMBER(M57),P57*M57,""),"")</x:f>
        <x:v>330</x:v>
      </x:c>
      <x:c r="R57" s="4" t="str">
        <x:v>국내출고 재확인</x:v>
      </x:c>
      <x:c r="S57" s="4" t="str">
        <x:v>P09</x:v>
      </x:c>
      <x:c r="T57" s="4" t="str">
        <x:v>https://eduino.kr/product/detail.html?product_no=349</x:v>
      </x:c>
    </x:row>
    <x:row r="58" ht="58" customHeight="1">
      <x:c r="A58" s="4" t="str">
        <x:v>B03</x:v>
      </x:c>
      <x:c r="B58" s="4" t="str">
        <x:v>브레드보드·수동소자</x:v>
      </x:c>
      <x:c r="C58" s="4" t="str">
        <x:v>조향옵션</x:v>
      </x:c>
      <x:c r="D58" s="4" t="str">
        <x:v>220Ω 축형 저항</x:v>
      </x:c>
      <x:c r="E58" s="22" t="n">
        <x:v>2</x:v>
      </x:c>
      <x:c r="F58" s="22" t="n">
        <x:v>8</x:v>
      </x:c>
      <x:c r="G58" s="4" t="str">
        <x:v>개</x:v>
      </x:c>
      <x:c r="H58" s="22" t="n">
        <x:v>10</x:v>
      </x:c>
      <x:c r="I58" s="22" t="n">
        <x:v>0</x:v>
      </x:c>
      <x:c r="J58" s="22" t="n">
        <x:v>0</x:v>
      </x:c>
      <x:c r="K58" s="30" t="n">
        <x:f>'안내·설정'!$D$7</x:f>
        <x:v>0</x:v>
      </x:c>
      <x:c r="L58" s="30" t="n">
        <x:f>IF(K58=0,0,IF(ISNUMBER(E58),MAX(0,(E58+F58*'안내·설정'!$D$12)*IF(C58="공구",1,'안내·설정'!$D$6)-I58-J58),""))</x:f>
        <x:v>0</x:v>
      </x:c>
      <x:c r="M58" s="30" t="n">
        <x:f>IF(ISNUMBER(L58),IF(H58&gt;0,ROUNDUP(L58/H58,0),""),"")</x:f>
        <x:v>0</x:v>
      </x:c>
      <x:c r="N58" s="30" t="n">
        <x:f>IF(ISNUMBER(M58),M58*H58,"")</x:f>
        <x:v>0</x:v>
      </x:c>
      <x:c r="O58" s="30" t="n">
        <x:f>IF(K58=0,0,IF(ISNUMBER(E58),I58+J58+N58-E58*IF(C58="공구",1,'안내·설정'!$D$6),""))</x:f>
        <x:v>0</x:v>
      </x:c>
      <x:c r="P58" s="26" t="n">
        <x:v>330</x:v>
      </x:c>
      <x:c r="Q58" s="32" t="n">
        <x:f>IF(ISNUMBER(P58),IF(ISNUMBER(M58),P58*M58,""),"")</x:f>
        <x:v>0</x:v>
      </x:c>
      <x:c r="R58" s="4" t="str">
        <x:v>옵션 확정 후 발주</x:v>
      </x:c>
      <x:c r="S58" s="4" t="str">
        <x:v>P10</x:v>
      </x:c>
      <x:c r="T58" s="4" t="str">
        <x:v>https://eduino.kr/product/detail.html?product_no=348</x:v>
      </x:c>
    </x:row>
    <x:row r="59" ht="58" customHeight="1">
      <x:c r="A59" s="4" t="str">
        <x:v>B04</x:v>
      </x:c>
      <x:c r="B59" s="4" t="str">
        <x:v>브레드보드·수동소자</x:v>
      </x:c>
      <x:c r="C59" s="4" t="str">
        <x:v>조향옵션</x:v>
      </x:c>
      <x:c r="D59" s="4" t="str">
        <x:v>10kΩ 축형 저항</x:v>
      </x:c>
      <x:c r="E59" s="22" t="n">
        <x:v>2</x:v>
      </x:c>
      <x:c r="F59" s="22" t="n">
        <x:v>8</x:v>
      </x:c>
      <x:c r="G59" s="4" t="str">
        <x:v>개</x:v>
      </x:c>
      <x:c r="H59" s="22" t="n">
        <x:v>10</x:v>
      </x:c>
      <x:c r="I59" s="22" t="n">
        <x:v>0</x:v>
      </x:c>
      <x:c r="J59" s="22" t="n">
        <x:v>0</x:v>
      </x:c>
      <x:c r="K59" s="30" t="n">
        <x:f>'안내·설정'!$D$7</x:f>
        <x:v>0</x:v>
      </x:c>
      <x:c r="L59" s="30" t="n">
        <x:f>IF(K59=0,0,IF(ISNUMBER(E59),MAX(0,(E59+F59*'안내·설정'!$D$12)*IF(C59="공구",1,'안내·설정'!$D$6)-I59-J59),""))</x:f>
        <x:v>0</x:v>
      </x:c>
      <x:c r="M59" s="30" t="n">
        <x:f>IF(ISNUMBER(L59),IF(H59&gt;0,ROUNDUP(L59/H59,0),""),"")</x:f>
        <x:v>0</x:v>
      </x:c>
      <x:c r="N59" s="30" t="n">
        <x:f>IF(ISNUMBER(M59),M59*H59,"")</x:f>
        <x:v>0</x:v>
      </x:c>
      <x:c r="O59" s="30" t="n">
        <x:f>IF(K59=0,0,IF(ISNUMBER(E59),I59+J59+N59-E59*IF(C59="공구",1,'안내·설정'!$D$6),""))</x:f>
        <x:v>0</x:v>
      </x:c>
      <x:c r="P59" s="26" t="n">
        <x:v>330</x:v>
      </x:c>
      <x:c r="Q59" s="32" t="n">
        <x:f>IF(ISNUMBER(P59),IF(ISNUMBER(M59),P59*M59,""),"")</x:f>
        <x:v>0</x:v>
      </x:c>
      <x:c r="R59" s="4" t="str">
        <x:v>옵션 확정 후 발주</x:v>
      </x:c>
      <x:c r="S59" s="4" t="str">
        <x:v>P11</x:v>
      </x:c>
      <x:c r="T59" s="4" t="str">
        <x:v>https://eduino.kr/product/detail.html?product_no=588</x:v>
      </x:c>
    </x:row>
    <x:row r="60" ht="58" customHeight="1">
      <x:c r="A60" s="4" t="str">
        <x:v>B05</x:v>
      </x:c>
      <x:c r="B60" s="4" t="str">
        <x:v>브레드보드·수동소자</x:v>
      </x:c>
      <x:c r="C60" s="4" t="str">
        <x:v>조향옵션</x:v>
      </x:c>
      <x:c r="D60" s="4" t="str">
        <x:v>4채널 비반전 버퍼 DIP-14</x:v>
      </x:c>
      <x:c r="E60" s="22" t="n">
        <x:v>1</x:v>
      </x:c>
      <x:c r="F60" s="22" t="n">
        <x:v>1</x:v>
      </x:c>
      <x:c r="G60" s="4" t="str">
        <x:v>개</x:v>
      </x:c>
      <x:c r="H60" s="22" t="n">
        <x:v>1</x:v>
      </x:c>
      <x:c r="I60" s="22" t="n">
        <x:v>0</x:v>
      </x:c>
      <x:c r="J60" s="22" t="n">
        <x:v>0</x:v>
      </x:c>
      <x:c r="K60" s="30" t="n">
        <x:f>'안내·설정'!$D$7</x:f>
        <x:v>0</x:v>
      </x:c>
      <x:c r="L60" s="30" t="n">
        <x:f>IF(K60=0,0,IF(ISNUMBER(E60),MAX(0,(E60+F60*'안내·설정'!$D$12)*IF(C60="공구",1,'안내·설정'!$D$6)-I60-J60),""))</x:f>
        <x:v>0</x:v>
      </x:c>
      <x:c r="M60" s="30" t="n">
        <x:f>IF(ISNUMBER(L60),IF(H60&gt;0,ROUNDUP(L60/H60,0),""),"")</x:f>
        <x:v>0</x:v>
      </x:c>
      <x:c r="N60" s="30" t="n">
        <x:f>IF(ISNUMBER(M60),M60*H60,"")</x:f>
        <x:v>0</x:v>
      </x:c>
      <x:c r="O60" s="30" t="n">
        <x:f>IF(K60=0,0,IF(ISNUMBER(E60),I60+J60+N60-E60*IF(C60="공구",1,'안내·설정'!$D$6),""))</x:f>
        <x:v>0</x:v>
      </x:c>
      <x:c r="P60" s="26"/>
      <x:c r="Q60" s="32" t="str">
        <x:f>IF(ISNUMBER(P60),IF(ISNUMBER(M60),P60*M60,""),"")</x:f>
      </x:c>
      <x:c r="R60" s="4" t="str">
        <x:v>사양·조달 보류</x:v>
      </x:c>
      <x:c r="S60" s="4"/>
      <x:c r="T60" s="4"/>
    </x:row>
    <x:row r="61" ht="58" customHeight="1">
      <x:c r="A61" s="4" t="str">
        <x:v>B06</x:v>
      </x:c>
      <x:c r="B61" s="4" t="str">
        <x:v>브레드보드·수동소자</x:v>
      </x:c>
      <x:c r="C61" s="4" t="str">
        <x:v>조향옵션</x:v>
      </x:c>
      <x:c r="D61" s="4" t="str">
        <x:v>100nF 세라믹 디커플링</x:v>
      </x:c>
      <x:c r="E61" s="22" t="n">
        <x:v>1</x:v>
      </x:c>
      <x:c r="F61" s="22" t="n">
        <x:v>9</x:v>
      </x:c>
      <x:c r="G61" s="4" t="str">
        <x:v>개</x:v>
      </x:c>
      <x:c r="H61" s="22" t="n">
        <x:v>1</x:v>
      </x:c>
      <x:c r="I61" s="22" t="n">
        <x:v>0</x:v>
      </x:c>
      <x:c r="J61" s="22" t="n">
        <x:v>0</x:v>
      </x:c>
      <x:c r="K61" s="30" t="n">
        <x:f>'안내·설정'!$D$7</x:f>
        <x:v>0</x:v>
      </x:c>
      <x:c r="L61" s="30" t="n">
        <x:f>IF(K61=0,0,IF(ISNUMBER(E61),MAX(0,(E61+F61*'안내·설정'!$D$12)*IF(C61="공구",1,'안내·설정'!$D$6)-I61-J61),""))</x:f>
        <x:v>0</x:v>
      </x:c>
      <x:c r="M61" s="30" t="n">
        <x:f>IF(ISNUMBER(L61),IF(H61&gt;0,ROUNDUP(L61/H61,0),""),"")</x:f>
        <x:v>0</x:v>
      </x:c>
      <x:c r="N61" s="30" t="n">
        <x:f>IF(ISNUMBER(M61),M61*H61,"")</x:f>
        <x:v>0</x:v>
      </x:c>
      <x:c r="O61" s="30" t="n">
        <x:f>IF(K61=0,0,IF(ISNUMBER(E61),I61+J61+N61-E61*IF(C61="공구",1,'안내·설정'!$D$6),""))</x:f>
        <x:v>0</x:v>
      </x:c>
      <x:c r="P61" s="26"/>
      <x:c r="Q61" s="32" t="str">
        <x:f>IF(ISNUMBER(P61),IF(ISNUMBER(M61),P61*M61,""),"")</x:f>
      </x:c>
      <x:c r="R61" s="4" t="str">
        <x:v>사양·조달 보류</x:v>
      </x:c>
      <x:c r="S61" s="4"/>
      <x:c r="T61" s="4"/>
    </x:row>
    <x:row r="62" ht="58" customHeight="1">
      <x:c r="A62" s="4" t="str">
        <x:v>B07</x:v>
      </x:c>
      <x:c r="B62" s="4" t="str">
        <x:v>브레드보드·수동소자</x:v>
      </x:c>
      <x:c r="C62" s="4" t="str">
        <x:v>준비재료</x:v>
      </x:c>
      <x:c r="D62" s="4" t="str">
        <x:v>M-F 벤치 점퍼선</x:v>
      </x:c>
      <x:c r="E62" s="22" t="n">
        <x:v>38</x:v>
      </x:c>
      <x:c r="F62" s="22" t="n">
        <x:v>42</x:v>
      </x:c>
      <x:c r="G62" s="4" t="str">
        <x:v>가닥</x:v>
      </x:c>
      <x:c r="H62" s="22" t="n">
        <x:v>40</x:v>
      </x:c>
      <x:c r="I62" s="22" t="n">
        <x:v>0</x:v>
      </x:c>
      <x:c r="J62" s="22" t="n">
        <x:v>0</x:v>
      </x:c>
      <x:c r="K62" s="30" t="n">
        <x:f>'안내·설정'!$D$10</x:f>
        <x:v>1</x:v>
      </x:c>
      <x:c r="L62" s="30" t="n">
        <x:f>IF(K62=0,0,IF(ISNUMBER(E62),MAX(0,(E62+F62*'안내·설정'!$D$12)*IF(C62="공구",1,'안내·설정'!$D$6)-I62-J62),""))</x:f>
        <x:v>80</x:v>
      </x:c>
      <x:c r="M62" s="30" t="n">
        <x:f>IF(ISNUMBER(L62),IF(H62&gt;0,ROUNDUP(L62/H62,0),""),"")</x:f>
        <x:v>2</x:v>
      </x:c>
      <x:c r="N62" s="30" t="n">
        <x:f>IF(ISNUMBER(M62),M62*H62,"")</x:f>
        <x:v>80</x:v>
      </x:c>
      <x:c r="O62" s="30" t="n">
        <x:f>IF(K62=0,0,IF(ISNUMBER(E62),I62+J62+N62-E62*IF(C62="공구",1,'안내·설정'!$D$6),""))</x:f>
        <x:v>42</x:v>
      </x:c>
      <x:c r="P62" s="26" t="n">
        <x:v>900</x:v>
      </x:c>
      <x:c r="Q62" s="32" t="n">
        <x:f>IF(ISNUMBER(P62),IF(ISNUMBER(M62),P62*M62,""),"")</x:f>
        <x:v>1800</x:v>
      </x:c>
      <x:c r="R62" s="4" t="str">
        <x:v>국내출고 재확인</x:v>
      </x:c>
      <x:c r="S62" s="4" t="str">
        <x:v>P06</x:v>
      </x:c>
      <x:c r="T62" s="4" t="str">
        <x:v>https://www.jenomall.com/goods/goods_view.php?goodsNo=1000012459</x:v>
      </x:c>
    </x:row>
    <x:row r="63" ht="58" customHeight="1">
      <x:c r="A63" s="4" t="str">
        <x:v>B08</x:v>
      </x:c>
      <x:c r="B63" s="4" t="str">
        <x:v>브레드보드·수동소자</x:v>
      </x:c>
      <x:c r="C63" s="4" t="str">
        <x:v>준비재료</x:v>
      </x:c>
      <x:c r="D63" s="4" t="str">
        <x:v>M-M 벤치 점퍼선</x:v>
      </x:c>
      <x:c r="E63" s="22" t="n">
        <x:v>9</x:v>
      </x:c>
      <x:c r="F63" s="22" t="n">
        <x:v>31</x:v>
      </x:c>
      <x:c r="G63" s="4" t="str">
        <x:v>가닥</x:v>
      </x:c>
      <x:c r="H63" s="22" t="n">
        <x:v>40</x:v>
      </x:c>
      <x:c r="I63" s="22" t="n">
        <x:v>0</x:v>
      </x:c>
      <x:c r="J63" s="22" t="n">
        <x:v>0</x:v>
      </x:c>
      <x:c r="K63" s="30" t="n">
        <x:f>'안내·설정'!$D$10</x:f>
        <x:v>1</x:v>
      </x:c>
      <x:c r="L63" s="30" t="n">
        <x:f>IF(K63=0,0,IF(ISNUMBER(E63),MAX(0,(E63+F63*'안내·설정'!$D$12)*IF(C63="공구",1,'안내·설정'!$D$6)-I63-J63),""))</x:f>
        <x:v>40</x:v>
      </x:c>
      <x:c r="M63" s="30" t="n">
        <x:f>IF(ISNUMBER(L63),IF(H63&gt;0,ROUNDUP(L63/H63,0),""),"")</x:f>
        <x:v>1</x:v>
      </x:c>
      <x:c r="N63" s="30" t="n">
        <x:f>IF(ISNUMBER(M63),M63*H63,"")</x:f>
        <x:v>40</x:v>
      </x:c>
      <x:c r="O63" s="30" t="n">
        <x:f>IF(K63=0,0,IF(ISNUMBER(E63),I63+J63+N63-E63*IF(C63="공구",1,'안내·설정'!$D$6),""))</x:f>
        <x:v>31</x:v>
      </x:c>
      <x:c r="P63" s="26" t="n">
        <x:v>1000</x:v>
      </x:c>
      <x:c r="Q63" s="32" t="n">
        <x:f>IF(ISNUMBER(P63),IF(ISNUMBER(M63),P63*M63,""),"")</x:f>
        <x:v>1000</x:v>
      </x:c>
      <x:c r="R63" s="4" t="str">
        <x:v>국내출고 재확인</x:v>
      </x:c>
      <x:c r="S63" s="4" t="str">
        <x:v>P07</x:v>
      </x:c>
      <x:c r="T63" s="4" t="str">
        <x:v>https://www.jenomall.com/goods/goods_view.php?goodsNo=1000012462</x:v>
      </x:c>
    </x:row>
    <x:row r="64" ht="58" customHeight="1">
      <x:c r="A64" s="4" t="str">
        <x:v>B09</x:v>
      </x:c>
      <x:c r="B64" s="4" t="str">
        <x:v>브레드보드·수동소자</x:v>
      </x:c>
      <x:c r="C64" s="4" t="str">
        <x:v>준비재료</x:v>
      </x:c>
      <x:c r="D64" s="4" t="str">
        <x:v>F-F 서비스 점퍼선</x:v>
      </x:c>
      <x:c r="E64" s="22" t="n">
        <x:v>0</x:v>
      </x:c>
      <x:c r="F64" s="22" t="n">
        <x:v>40</x:v>
      </x:c>
      <x:c r="G64" s="4" t="str">
        <x:v>가닥</x:v>
      </x:c>
      <x:c r="H64" s="22" t="n">
        <x:v>40</x:v>
      </x:c>
      <x:c r="I64" s="22" t="n">
        <x:v>0</x:v>
      </x:c>
      <x:c r="J64" s="22" t="n">
        <x:v>0</x:v>
      </x:c>
      <x:c r="K64" s="30" t="n">
        <x:f>'안내·설정'!$D$10</x:f>
        <x:v>1</x:v>
      </x:c>
      <x:c r="L64" s="30" t="n">
        <x:f>IF(K64=0,0,IF(ISNUMBER(E64),MAX(0,(E64+F64*'안내·설정'!$D$12)*IF(C64="공구",1,'안내·설정'!$D$6)-I64-J64),""))</x:f>
        <x:v>40</x:v>
      </x:c>
      <x:c r="M64" s="30" t="n">
        <x:f>IF(ISNUMBER(L64),IF(H64&gt;0,ROUNDUP(L64/H64,0),""),"")</x:f>
        <x:v>1</x:v>
      </x:c>
      <x:c r="N64" s="30" t="n">
        <x:f>IF(ISNUMBER(M64),M64*H64,"")</x:f>
        <x:v>40</x:v>
      </x:c>
      <x:c r="O64" s="30" t="n">
        <x:f>IF(K64=0,0,IF(ISNUMBER(E64),I64+J64+N64-E64*IF(C64="공구",1,'안내·설정'!$D$6),""))</x:f>
        <x:v>40</x:v>
      </x:c>
      <x:c r="P64" s="26" t="n">
        <x:v>900</x:v>
      </x:c>
      <x:c r="Q64" s="32" t="n">
        <x:f>IF(ISNUMBER(P64),IF(ISNUMBER(M64),P64*M64,""),"")</x:f>
        <x:v>900</x:v>
      </x:c>
      <x:c r="R64" s="4" t="str">
        <x:v>국내출고 재확인</x:v>
      </x:c>
      <x:c r="S64" s="4" t="str">
        <x:v>P08</x:v>
      </x:c>
      <x:c r="T64" s="4" t="str">
        <x:v>https://www.jenomall.com/goods/goods_view.php?goodsNo=1000012463</x:v>
      </x:c>
    </x:row>
    <x:row r="65" ht="58" customHeight="1">
      <x:c r="A65" s="4" t="str">
        <x:v>B10</x:v>
      </x:c>
      <x:c r="B65" s="4" t="str">
        <x:v>브레드보드·수동소자</x:v>
      </x:c>
      <x:c r="C65" s="4" t="str">
        <x:v>준비재료</x:v>
      </x:c>
      <x:c r="D65" s="4" t="str">
        <x:v>2.54mm 수 헤더 스트립</x:v>
      </x:c>
      <x:c r="E65" s="22" t="n">
        <x:v>2</x:v>
      </x:c>
      <x:c r="F65" s="22" t="n">
        <x:v>1</x:v>
      </x:c>
      <x:c r="G65" s="4" t="str">
        <x:v>줄</x:v>
      </x:c>
      <x:c r="H65" s="22" t="n">
        <x:v>1</x:v>
      </x:c>
      <x:c r="I65" s="22" t="n">
        <x:v>0</x:v>
      </x:c>
      <x:c r="J65" s="22" t="n">
        <x:v>0</x:v>
      </x:c>
      <x:c r="K65" s="30" t="n">
        <x:f>'안내·설정'!$D$10</x:f>
        <x:v>1</x:v>
      </x:c>
      <x:c r="L65" s="30" t="n">
        <x:f>IF(K65=0,0,IF(ISNUMBER(E65),MAX(0,(E65+F65*'안내·설정'!$D$12)*IF(C65="공구",1,'안내·설정'!$D$6)-I65-J65),""))</x:f>
        <x:v>3</x:v>
      </x:c>
      <x:c r="M65" s="30" t="n">
        <x:f>IF(ISNUMBER(L65),IF(H65&gt;0,ROUNDUP(L65/H65,0),""),"")</x:f>
        <x:v>3</x:v>
      </x:c>
      <x:c r="N65" s="30" t="n">
        <x:f>IF(ISNUMBER(M65),M65*H65,"")</x:f>
        <x:v>3</x:v>
      </x:c>
      <x:c r="O65" s="30" t="n">
        <x:f>IF(K65=0,0,IF(ISNUMBER(E65),I65+J65+N65-E65*IF(C65="공구",1,'안내·설정'!$D$6),""))</x:f>
        <x:v>1</x:v>
      </x:c>
      <x:c r="P65" s="26"/>
      <x:c r="Q65" s="32" t="str">
        <x:f>IF(ISNUMBER(P65),IF(ISNUMBER(M65),P65*M65,""),"")</x:f>
      </x:c>
      <x:c r="R65" s="4" t="str">
        <x:v>사양·조달 보류</x:v>
      </x:c>
      <x:c r="S65" s="4"/>
      <x:c r="T65" s="4"/>
    </x:row>
    <x:row r="66" ht="58" customHeight="1">
      <x:c r="A66" s="4" t="str">
        <x:v>H01</x:v>
      </x:c>
      <x:c r="B66" s="4" t="str">
        <x:v>케이블·접속</x:v>
      </x:c>
      <x:c r="C66" s="4" t="str">
        <x:v>기본</x:v>
      </x:c>
      <x:c r="D66" s="4" t="str">
        <x:v>USB 허브 upstream 케이블</x:v>
      </x:c>
      <x:c r="E66" s="22" t="n">
        <x:v>1</x:v>
      </x:c>
      <x:c r="F66" s="22" t="n">
        <x:v>1</x:v>
      </x:c>
      <x:c r="G66" s="4" t="str">
        <x:v>개</x:v>
      </x:c>
      <x:c r="H66" s="22" t="n">
        <x:v>1</x:v>
      </x:c>
      <x:c r="I66" s="22" t="n">
        <x:v>0</x:v>
      </x:c>
      <x:c r="J66" s="22" t="n">
        <x:v>0</x:v>
      </x:c>
      <x:c r="K66" s="30" t="n">
        <x:f>1</x:f>
        <x:v>1</x:v>
      </x:c>
      <x:c r="L66" s="30" t="n">
        <x:f>IF(K66=0,0,IF(ISNUMBER(E66),MAX(0,(E66+F66*'안내·설정'!$D$12)*IF(C66="공구",1,'안내·설정'!$D$6)-I66-J66),""))</x:f>
        <x:v>2</x:v>
      </x:c>
      <x:c r="M66" s="30" t="n">
        <x:f>IF(ISNUMBER(L66),IF(H66&gt;0,ROUNDUP(L66/H66,0),""),"")</x:f>
        <x:v>2</x:v>
      </x:c>
      <x:c r="N66" s="30" t="n">
        <x:f>IF(ISNUMBER(M66),M66*H66,"")</x:f>
        <x:v>2</x:v>
      </x:c>
      <x:c r="O66" s="30" t="n">
        <x:f>IF(K66=0,0,IF(ISNUMBER(E66),I66+J66+N66-E66*IF(C66="공구",1,'안내·설정'!$D$6),""))</x:f>
        <x:v>1</x:v>
      </x:c>
      <x:c r="P66" s="26"/>
      <x:c r="Q66" s="32" t="str">
        <x:f>IF(ISNUMBER(P66),IF(ISNUMBER(M66),P66*M66,""),"")</x:f>
      </x:c>
      <x:c r="R66" s="4" t="str">
        <x:v>동봉·규격 확인</x:v>
      </x:c>
      <x:c r="S66" s="4"/>
      <x:c r="T66" s="4"/>
    </x:row>
    <x:row r="67" ht="58" customHeight="1">
      <x:c r="A67" s="4" t="str">
        <x:v>H02</x:v>
      </x:c>
      <x:c r="B67" s="4" t="str">
        <x:v>케이블·접속</x:v>
      </x:c>
      <x:c r="C67" s="4" t="str">
        <x:v>기본</x:v>
      </x:c>
      <x:c r="D67" s="4" t="str">
        <x:v>ESP32 micro-B 데이터 케이블</x:v>
      </x:c>
      <x:c r="E67" s="22" t="n">
        <x:v>1</x:v>
      </x:c>
      <x:c r="F67" s="22" t="n">
        <x:v>1</x:v>
      </x:c>
      <x:c r="G67" s="4" t="str">
        <x:v>개</x:v>
      </x:c>
      <x:c r="H67" s="22" t="n">
        <x:v>1</x:v>
      </x:c>
      <x:c r="I67" s="22" t="n">
        <x:v>0</x:v>
      </x:c>
      <x:c r="J67" s="22" t="n">
        <x:v>0</x:v>
      </x:c>
      <x:c r="K67" s="30" t="n">
        <x:f>1</x:f>
        <x:v>1</x:v>
      </x:c>
      <x:c r="L67" s="30" t="n">
        <x:f>IF(K67=0,0,IF(ISNUMBER(E67),MAX(0,(E67+F67*'안내·설정'!$D$12)*IF(C67="공구",1,'안내·설정'!$D$6)-I67-J67),""))</x:f>
        <x:v>2</x:v>
      </x:c>
      <x:c r="M67" s="30" t="n">
        <x:f>IF(ISNUMBER(L67),IF(H67&gt;0,ROUNDUP(L67/H67,0),""),"")</x:f>
        <x:v>2</x:v>
      </x:c>
      <x:c r="N67" s="30" t="n">
        <x:f>IF(ISNUMBER(M67),M67*H67,"")</x:f>
        <x:v>2</x:v>
      </x:c>
      <x:c r="O67" s="30" t="n">
        <x:f>IF(K67=0,0,IF(ISNUMBER(E67),I67+J67+N67-E67*IF(C67="공구",1,'안내·설정'!$D$6),""))</x:f>
        <x:v>1</x:v>
      </x:c>
      <x:c r="P67" s="26" t="n">
        <x:v>1000</x:v>
      </x:c>
      <x:c r="Q67" s="32" t="n">
        <x:f>IF(ISNUMBER(P67),IF(ISNUMBER(M67),P67*M67,""),"")</x:f>
        <x:v>2000</x:v>
      </x:c>
      <x:c r="R67" s="4" t="str">
        <x:v>국내출고·길이 확인</x:v>
      </x:c>
      <x:c r="S67" s="4" t="str">
        <x:v>P13</x:v>
      </x:c>
      <x:c r="T67" s="4" t="str">
        <x:v>https://eduino.kr/product/detail.html?product_no=97</x:v>
      </x:c>
    </x:row>
    <x:row r="68" ht="58" customHeight="1">
      <x:c r="A68" s="4" t="str">
        <x:v>H03</x:v>
      </x:c>
      <x:c r="B68" s="4" t="str">
        <x:v>케이블·접속</x:v>
      </x:c>
      <x:c r="C68" s="4" t="str">
        <x:v>기본</x:v>
      </x:c>
      <x:c r="D68" s="4" t="str">
        <x:v>UWB 베이스 Type-C 데이터 케이블</x:v>
      </x:c>
      <x:c r="E68" s="22" t="n">
        <x:v>2</x:v>
      </x:c>
      <x:c r="F68" s="22" t="n">
        <x:v>1</x:v>
      </x:c>
      <x:c r="G68" s="4" t="str">
        <x:v>개</x:v>
      </x:c>
      <x:c r="H68" s="22" t="n">
        <x:v>1</x:v>
      </x:c>
      <x:c r="I68" s="22" t="n">
        <x:v>0</x:v>
      </x:c>
      <x:c r="J68" s="22" t="n">
        <x:v>0</x:v>
      </x:c>
      <x:c r="K68" s="30" t="n">
        <x:f>1</x:f>
        <x:v>1</x:v>
      </x:c>
      <x:c r="L68" s="30" t="n">
        <x:f>IF(K68=0,0,IF(ISNUMBER(E68),MAX(0,(E68+F68*'안내·설정'!$D$12)*IF(C68="공구",1,'안내·설정'!$D$6)-I68-J68),""))</x:f>
        <x:v>3</x:v>
      </x:c>
      <x:c r="M68" s="30" t="n">
        <x:f>IF(ISNUMBER(L68),IF(H68&gt;0,ROUNDUP(L68/H68,0),""),"")</x:f>
        <x:v>3</x:v>
      </x:c>
      <x:c r="N68" s="30" t="n">
        <x:f>IF(ISNUMBER(M68),M68*H68,"")</x:f>
        <x:v>3</x:v>
      </x:c>
      <x:c r="O68" s="30" t="n">
        <x:f>IF(K68=0,0,IF(ISNUMBER(E68),I68+J68+N68-E68*IF(C68="공구",1,'안내·설정'!$D$6),""))</x:f>
        <x:v>1</x:v>
      </x:c>
      <x:c r="P68" s="26" t="n">
        <x:v>3300</x:v>
      </x:c>
      <x:c r="Q68" s="32" t="n">
        <x:f>IF(ISNUMBER(P68),IF(ISNUMBER(M68),P68*M68,""),"")</x:f>
        <x:v>9900</x:v>
      </x:c>
      <x:c r="R68" s="4" t="str">
        <x:v>국내출고·단자 확인</x:v>
      </x:c>
      <x:c r="S68" s="4" t="str">
        <x:v>P12</x:v>
      </x:c>
      <x:c r="T68" s="4" t="str">
        <x:v>https://eduino.kr/product/detail.html?product_no=10002</x:v>
      </x:c>
    </x:row>
    <x:row r="69" ht="58" customHeight="1">
      <x:c r="A69" s="4" t="str">
        <x:v>H04</x:v>
      </x:c>
      <x:c r="B69" s="4" t="str">
        <x:v>케이블·접속</x:v>
      </x:c>
      <x:c r="C69" s="4" t="str">
        <x:v>기본</x:v>
      </x:c>
      <x:c r="D69" s="4" t="str">
        <x:v>C1 어댑터 USB 데이터 케이블</x:v>
      </x:c>
      <x:c r="E69" s="22" t="n">
        <x:v>1</x:v>
      </x:c>
      <x:c r="F69" s="22" t="n">
        <x:v>1</x:v>
      </x:c>
      <x:c r="G69" s="4" t="str">
        <x:v>개</x:v>
      </x:c>
      <x:c r="H69" s="22" t="n">
        <x:v>1</x:v>
      </x:c>
      <x:c r="I69" s="22" t="n">
        <x:v>0</x:v>
      </x:c>
      <x:c r="J69" s="22" t="n">
        <x:v>0</x:v>
      </x:c>
      <x:c r="K69" s="30" t="n">
        <x:f>1</x:f>
        <x:v>1</x:v>
      </x:c>
      <x:c r="L69" s="30" t="n">
        <x:f>IF(K69=0,0,IF(ISNUMBER(E69),MAX(0,(E69+F69*'안내·설정'!$D$12)*IF(C69="공구",1,'안내·설정'!$D$6)-I69-J69),""))</x:f>
        <x:v>2</x:v>
      </x:c>
      <x:c r="M69" s="30" t="n">
        <x:f>IF(ISNUMBER(L69),IF(H69&gt;0,ROUNDUP(L69/H69,0),""),"")</x:f>
        <x:v>2</x:v>
      </x:c>
      <x:c r="N69" s="30" t="n">
        <x:f>IF(ISNUMBER(M69),M69*H69,"")</x:f>
        <x:v>2</x:v>
      </x:c>
      <x:c r="O69" s="30" t="n">
        <x:f>IF(K69=0,0,IF(ISNUMBER(E69),I69+J69+N69-E69*IF(C69="공구",1,'안내·설정'!$D$6),""))</x:f>
        <x:v>1</x:v>
      </x:c>
      <x:c r="P69" s="26"/>
      <x:c r="Q69" s="32" t="str">
        <x:f>IF(ISNUMBER(P69),IF(ISNUMBER(M69),P69*M69,""),"")</x:f>
      </x:c>
      <x:c r="R69" s="4" t="str">
        <x:v>동봉·규격 확인</x:v>
      </x:c>
      <x:c r="S69" s="4"/>
      <x:c r="T69" s="4"/>
    </x:row>
    <x:row r="70" ht="58" customHeight="1">
      <x:c r="A70" s="4" t="str">
        <x:v>H05</x:v>
      </x:c>
      <x:c r="B70" s="4" t="str">
        <x:v>케이블·접속</x:v>
      </x:c>
      <x:c r="C70" s="4" t="str">
        <x:v>기본</x:v>
      </x:c>
      <x:c r="D70" s="4" t="str">
        <x:v>C1 센서 전용 하네스</x:v>
      </x:c>
      <x:c r="E70" s="22" t="n">
        <x:v>1</x:v>
      </x:c>
      <x:c r="F70" s="22" t="n">
        <x:v>0</x:v>
      </x:c>
      <x:c r="G70" s="4" t="str">
        <x:v>개</x:v>
      </x:c>
      <x:c r="H70" s="22" t="n">
        <x:v>1</x:v>
      </x:c>
      <x:c r="I70" s="22" t="n">
        <x:v>0</x:v>
      </x:c>
      <x:c r="J70" s="22" t="n">
        <x:v>0</x:v>
      </x:c>
      <x:c r="K70" s="30" t="n">
        <x:f>1</x:f>
        <x:v>1</x:v>
      </x:c>
      <x:c r="L70" s="30" t="n">
        <x:f>IF(K70=0,0,IF(ISNUMBER(E70),MAX(0,(E70+F70*'안내·설정'!$D$12)*IF(C70="공구",1,'안내·설정'!$D$6)-I70-J70),""))</x:f>
        <x:v>1</x:v>
      </x:c>
      <x:c r="M70" s="30" t="n">
        <x:f>IF(ISNUMBER(L70),IF(H70&gt;0,ROUNDUP(L70/H70,0),""),"")</x:f>
        <x:v>1</x:v>
      </x:c>
      <x:c r="N70" s="30" t="n">
        <x:f>IF(ISNUMBER(M70),M70*H70,"")</x:f>
        <x:v>1</x:v>
      </x:c>
      <x:c r="O70" s="30" t="n">
        <x:f>IF(K70=0,0,IF(ISNUMBER(E70),I70+J70+N70-E70*IF(C70="공구",1,'안내·설정'!$D$6),""))</x:f>
        <x:v>0</x:v>
      </x:c>
      <x:c r="P70" s="26"/>
      <x:c r="Q70" s="32" t="str">
        <x:f>IF(ISNUMBER(P70),IF(ISNUMBER(M70),P70*M70,""),"")</x:f>
      </x:c>
      <x:c r="R70" s="4" t="str">
        <x:v>동봉·규격 확인</x:v>
      </x:c>
      <x:c r="S70" s="4"/>
      <x:c r="T70" s="4"/>
    </x:row>
    <x:row r="71" ht="58" customHeight="1">
      <x:c r="A71" s="4" t="str">
        <x:v>H06</x:v>
      </x:c>
      <x:c r="B71" s="4" t="str">
        <x:v>케이블·접속</x:v>
      </x:c>
      <x:c r="C71" s="4" t="str">
        <x:v>기본</x:v>
      </x:c>
      <x:c r="D71" s="4" t="str">
        <x:v>Orange Pi 전원용 Type-C 하네스</x:v>
      </x:c>
      <x:c r="E71" s="22" t="n">
        <x:v>1</x:v>
      </x:c>
      <x:c r="F71" s="22" t="n">
        <x:v>0</x:v>
      </x:c>
      <x:c r="G71" s="4" t="str">
        <x:v>개</x:v>
      </x:c>
      <x:c r="H71" s="22" t="n">
        <x:v>1</x:v>
      </x:c>
      <x:c r="I71" s="22" t="n">
        <x:v>0</x:v>
      </x:c>
      <x:c r="J71" s="22" t="n">
        <x:v>0</x:v>
      </x:c>
      <x:c r="K71" s="30" t="n">
        <x:f>1</x:f>
        <x:v>1</x:v>
      </x:c>
      <x:c r="L71" s="30" t="n">
        <x:f>IF(K71=0,0,IF(ISNUMBER(E71),MAX(0,(E71+F71*'안내·설정'!$D$12)*IF(C71="공구",1,'안내·설정'!$D$6)-I71-J71),""))</x:f>
        <x:v>1</x:v>
      </x:c>
      <x:c r="M71" s="30" t="n">
        <x:f>IF(ISNUMBER(L71),IF(H71&gt;0,ROUNDUP(L71/H71,0),""),"")</x:f>
        <x:v>1</x:v>
      </x:c>
      <x:c r="N71" s="30" t="n">
        <x:f>IF(ISNUMBER(M71),M71*H71,"")</x:f>
        <x:v>1</x:v>
      </x:c>
      <x:c r="O71" s="30" t="n">
        <x:f>IF(K71=0,0,IF(ISNUMBER(E71),I71+J71+N71-E71*IF(C71="공구",1,'안내·설정'!$D$6),""))</x:f>
        <x:v>0</x:v>
      </x:c>
      <x:c r="P71" s="26"/>
      <x:c r="Q71" s="32" t="str">
        <x:f>IF(ISNUMBER(P71),IF(ISNUMBER(M71),P71*M71,""),"")</x:f>
      </x:c>
      <x:c r="R71" s="4" t="str">
        <x:v>사양·조달 보류</x:v>
      </x:c>
      <x:c r="S71" s="4"/>
      <x:c r="T71" s="4"/>
    </x:row>
    <x:row r="72" ht="58" customHeight="1">
      <x:c r="A72" s="4" t="str">
        <x:v>H07</x:v>
      </x:c>
      <x:c r="B72" s="4" t="str">
        <x:v>케이블·접속</x:v>
      </x:c>
      <x:c r="C72" s="4" t="str">
        <x:v>기본</x:v>
      </x:c>
      <x:c r="D72" s="4" t="str">
        <x:v>USB 허브 외부 5V 전원 하네스</x:v>
      </x:c>
      <x:c r="E72" s="22" t="n">
        <x:v>1</x:v>
      </x:c>
      <x:c r="F72" s="22" t="n">
        <x:v>0</x:v>
      </x:c>
      <x:c r="G72" s="4" t="str">
        <x:v>개</x:v>
      </x:c>
      <x:c r="H72" s="22" t="n">
        <x:v>1</x:v>
      </x:c>
      <x:c r="I72" s="22" t="n">
        <x:v>0</x:v>
      </x:c>
      <x:c r="J72" s="22" t="n">
        <x:v>0</x:v>
      </x:c>
      <x:c r="K72" s="30" t="n">
        <x:f>1</x:f>
        <x:v>1</x:v>
      </x:c>
      <x:c r="L72" s="30" t="n">
        <x:f>IF(K72=0,0,IF(ISNUMBER(E72),MAX(0,(E72+F72*'안내·설정'!$D$12)*IF(C72="공구",1,'안내·설정'!$D$6)-I72-J72),""))</x:f>
        <x:v>1</x:v>
      </x:c>
      <x:c r="M72" s="30" t="n">
        <x:f>IF(ISNUMBER(L72),IF(H72&gt;0,ROUNDUP(L72/H72,0),""),"")</x:f>
        <x:v>1</x:v>
      </x:c>
      <x:c r="N72" s="30" t="n">
        <x:f>IF(ISNUMBER(M72),M72*H72,"")</x:f>
        <x:v>1</x:v>
      </x:c>
      <x:c r="O72" s="30" t="n">
        <x:f>IF(K72=0,0,IF(ISNUMBER(E72),I72+J72+N72-E72*IF(C72="공구",1,'안내·설정'!$D$6),""))</x:f>
        <x:v>0</x:v>
      </x:c>
      <x:c r="P72" s="26"/>
      <x:c r="Q72" s="32" t="str">
        <x:f>IF(ISNUMBER(P72),IF(ISNUMBER(M72),P72*M72,""),"")</x:f>
      </x:c>
      <x:c r="R72" s="4" t="str">
        <x:v>사양·조달 보류</x:v>
      </x:c>
      <x:c r="S72" s="4"/>
      <x:c r="T72" s="4"/>
    </x:row>
    <x:row r="73" ht="58" customHeight="1">
      <x:c r="A73" s="4" t="str">
        <x:v>H08</x:v>
      </x:c>
      <x:c r="B73" s="4" t="str">
        <x:v>케이블·접속</x:v>
      </x:c>
      <x:c r="C73" s="4" t="str">
        <x:v>기본</x:v>
      </x:c>
      <x:c r="D73" s="4" t="str">
        <x:v>태그 전원 케이블</x:v>
      </x:c>
      <x:c r="E73" s="22" t="n">
        <x:v>1</x:v>
      </x:c>
      <x:c r="F73" s="22" t="n">
        <x:v>0</x:v>
      </x:c>
      <x:c r="G73" s="4" t="str">
        <x:v>개</x:v>
      </x:c>
      <x:c r="H73" s="22" t="n">
        <x:v>1</x:v>
      </x:c>
      <x:c r="I73" s="22" t="n">
        <x:v>0</x:v>
      </x:c>
      <x:c r="J73" s="22" t="n">
        <x:v>0</x:v>
      </x:c>
      <x:c r="K73" s="30" t="n">
        <x:f>1</x:f>
        <x:v>1</x:v>
      </x:c>
      <x:c r="L73" s="30" t="n">
        <x:f>IF(K73=0,0,IF(ISNUMBER(E73),MAX(0,(E73+F73*'안내·설정'!$D$12)*IF(C73="공구",1,'안내·설정'!$D$6)-I73-J73),""))</x:f>
        <x:v>1</x:v>
      </x:c>
      <x:c r="M73" s="30" t="n">
        <x:f>IF(ISNUMBER(L73),IF(H73&gt;0,ROUNDUP(L73/H73,0),""),"")</x:f>
        <x:v>1</x:v>
      </x:c>
      <x:c r="N73" s="30" t="n">
        <x:f>IF(ISNUMBER(M73),M73*H73,"")</x:f>
        <x:v>1</x:v>
      </x:c>
      <x:c r="O73" s="30" t="n">
        <x:f>IF(K73=0,0,IF(ISNUMBER(E73),I73+J73+N73-E73*IF(C73="공구",1,'안내·설정'!$D$6),""))</x:f>
        <x:v>0</x:v>
      </x:c>
      <x:c r="P73" s="26"/>
      <x:c r="Q73" s="32" t="str">
        <x:f>IF(ISNUMBER(P73),IF(ISNUMBER(M73),P73*M73,""),"")</x:f>
      </x:c>
      <x:c r="R73" s="4" t="str">
        <x:v>사양·조달 보류</x:v>
      </x:c>
      <x:c r="S73" s="4"/>
      <x:c r="T73" s="4"/>
    </x:row>
    <x:row r="74" ht="58" customHeight="1">
      <x:c r="A74" s="4" t="str">
        <x:v>H09</x:v>
      </x:c>
      <x:c r="B74" s="4" t="str">
        <x:v>케이블·접속</x:v>
      </x:c>
      <x:c r="C74" s="4" t="str">
        <x:v>기본</x:v>
      </x:c>
      <x:c r="D74" s="4" t="str">
        <x:v>배터리 메인 양극 케이블</x:v>
      </x:c>
      <x:c r="E74" s="22"/>
      <x:c r="F74" s="22" t="n">
        <x:v>0</x:v>
      </x:c>
      <x:c r="G74" s="4" t="str">
        <x:v>m</x:v>
      </x:c>
      <x:c r="H74" s="22" t="n">
        <x:v>1</x:v>
      </x:c>
      <x:c r="I74" s="22" t="n">
        <x:v>0</x:v>
      </x:c>
      <x:c r="J74" s="22" t="n">
        <x:v>0</x:v>
      </x:c>
      <x:c r="K74" s="30" t="n">
        <x:f>1</x:f>
        <x:v>1</x:v>
      </x:c>
      <x:c r="L74" s="30" t="str">
        <x:f>IF(K74=0,0,IF(ISNUMBER(E74),MAX(0,(E74+F74*'안내·설정'!$D$12)*IF(C74="공구",1,'안내·설정'!$D$6)-I74-J74),""))</x:f>
      </x:c>
      <x:c r="M74" s="30" t="str">
        <x:f>IF(ISNUMBER(L74),IF(H74&gt;0,ROUNDUP(L74/H74,0),""),"")</x:f>
      </x:c>
      <x:c r="N74" s="30" t="str">
        <x:f>IF(ISNUMBER(M74),M74*H74,"")</x:f>
      </x:c>
      <x:c r="O74" s="30" t="str">
        <x:f>IF(K74=0,0,IF(ISNUMBER(E74),I74+J74+N74-E74*IF(C74="공구",1,'안내·설정'!$D$6),""))</x:f>
      </x:c>
      <x:c r="P74" s="26"/>
      <x:c r="Q74" s="32" t="str">
        <x:f>IF(ISNUMBER(P74),IF(ISNUMBER(M74),P74*M74,""),"")</x:f>
      </x:c>
      <x:c r="R74" s="4" t="str">
        <x:v>사양·조달 보류</x:v>
      </x:c>
      <x:c r="S74" s="4"/>
      <x:c r="T74" s="4"/>
    </x:row>
    <x:row r="75" ht="58" customHeight="1">
      <x:c r="A75" s="4" t="str">
        <x:v>H10</x:v>
      </x:c>
      <x:c r="B75" s="4" t="str">
        <x:v>케이블·접속</x:v>
      </x:c>
      <x:c r="C75" s="4" t="str">
        <x:v>기본</x:v>
      </x:c>
      <x:c r="D75" s="4" t="str">
        <x:v>배터리·구동 음극 케이블</x:v>
      </x:c>
      <x:c r="E75" s="22"/>
      <x:c r="F75" s="22" t="n">
        <x:v>0</x:v>
      </x:c>
      <x:c r="G75" s="4" t="str">
        <x:v>m</x:v>
      </x:c>
      <x:c r="H75" s="22" t="n">
        <x:v>1</x:v>
      </x:c>
      <x:c r="I75" s="22" t="n">
        <x:v>0</x:v>
      </x:c>
      <x:c r="J75" s="22" t="n">
        <x:v>0</x:v>
      </x:c>
      <x:c r="K75" s="30" t="n">
        <x:f>1</x:f>
        <x:v>1</x:v>
      </x:c>
      <x:c r="L75" s="30" t="str">
        <x:f>IF(K75=0,0,IF(ISNUMBER(E75),MAX(0,(E75+F75*'안내·설정'!$D$12)*IF(C75="공구",1,'안내·설정'!$D$6)-I75-J75),""))</x:f>
      </x:c>
      <x:c r="M75" s="30" t="str">
        <x:f>IF(ISNUMBER(L75),IF(H75&gt;0,ROUNDUP(L75/H75,0),""),"")</x:f>
      </x:c>
      <x:c r="N75" s="30" t="str">
        <x:f>IF(ISNUMBER(M75),M75*H75,"")</x:f>
      </x:c>
      <x:c r="O75" s="30" t="str">
        <x:f>IF(K75=0,0,IF(ISNUMBER(E75),I75+J75+N75-E75*IF(C75="공구",1,'안내·설정'!$D$6),""))</x:f>
      </x:c>
      <x:c r="P75" s="26"/>
      <x:c r="Q75" s="32" t="str">
        <x:f>IF(ISNUMBER(P75),IF(ISNUMBER(M75),P75*M75,""),"")</x:f>
      </x:c>
      <x:c r="R75" s="4" t="str">
        <x:v>사양·조달 보류</x:v>
      </x:c>
      <x:c r="S75" s="4"/>
      <x:c r="T75" s="4"/>
    </x:row>
    <x:row r="76" ht="58" customHeight="1">
      <x:c r="A76" s="4" t="str">
        <x:v>H11</x:v>
      </x:c>
      <x:c r="B76" s="4" t="str">
        <x:v>케이블·접속</x:v>
      </x:c>
      <x:c r="C76" s="4" t="str">
        <x:v>기본</x:v>
      </x:c>
      <x:c r="D76" s="4" t="str">
        <x:v>모터 전력 하네스</x:v>
      </x:c>
      <x:c r="E76" s="22" t="n">
        <x:v>2</x:v>
      </x:c>
      <x:c r="F76" s="22" t="n">
        <x:v>0</x:v>
      </x:c>
      <x:c r="G76" s="4" t="str">
        <x:v>세트</x:v>
      </x:c>
      <x:c r="H76" s="22" t="n">
        <x:v>1</x:v>
      </x:c>
      <x:c r="I76" s="22" t="n">
        <x:v>0</x:v>
      </x:c>
      <x:c r="J76" s="22" t="n">
        <x:v>0</x:v>
      </x:c>
      <x:c r="K76" s="30" t="n">
        <x:f>1</x:f>
        <x:v>1</x:v>
      </x:c>
      <x:c r="L76" s="30" t="n">
        <x:f>IF(K76=0,0,IF(ISNUMBER(E76),MAX(0,(E76+F76*'안내·설정'!$D$12)*IF(C76="공구",1,'안내·설정'!$D$6)-I76-J76),""))</x:f>
        <x:v>2</x:v>
      </x:c>
      <x:c r="M76" s="30" t="n">
        <x:f>IF(ISNUMBER(L76),IF(H76&gt;0,ROUNDUP(L76/H76,0),""),"")</x:f>
        <x:v>2</x:v>
      </x:c>
      <x:c r="N76" s="30" t="n">
        <x:f>IF(ISNUMBER(M76),M76*H76,"")</x:f>
        <x:v>2</x:v>
      </x:c>
      <x:c r="O76" s="30" t="n">
        <x:f>IF(K76=0,0,IF(ISNUMBER(E76),I76+J76+N76-E76*IF(C76="공구",1,'안내·설정'!$D$6),""))</x:f>
        <x:v>0</x:v>
      </x:c>
      <x:c r="P76" s="26"/>
      <x:c r="Q76" s="32" t="str">
        <x:f>IF(ISNUMBER(P76),IF(ISNUMBER(M76),P76*M76,""),"")</x:f>
      </x:c>
      <x:c r="R76" s="4" t="str">
        <x:v>사양·조달 보류</x:v>
      </x:c>
      <x:c r="S76" s="4"/>
      <x:c r="T76" s="4"/>
    </x:row>
    <x:row r="77" ht="58" customHeight="1">
      <x:c r="A77" s="4" t="str">
        <x:v>H12</x:v>
      </x:c>
      <x:c r="B77" s="4" t="str">
        <x:v>케이블·접속</x:v>
      </x:c>
      <x:c r="C77" s="4" t="str">
        <x:v>기본</x:v>
      </x:c>
      <x:c r="D77" s="4" t="str">
        <x:v>DC-DC 및 5V/12V 전력 배선</x:v>
      </x:c>
      <x:c r="E77" s="22"/>
      <x:c r="F77" s="22" t="n">
        <x:v>0</x:v>
      </x:c>
      <x:c r="G77" s="4" t="str">
        <x:v>m</x:v>
      </x:c>
      <x:c r="H77" s="22" t="n">
        <x:v>1</x:v>
      </x:c>
      <x:c r="I77" s="22" t="n">
        <x:v>0</x:v>
      </x:c>
      <x:c r="J77" s="22" t="n">
        <x:v>0</x:v>
      </x:c>
      <x:c r="K77" s="30" t="n">
        <x:f>1</x:f>
        <x:v>1</x:v>
      </x:c>
      <x:c r="L77" s="30" t="str">
        <x:f>IF(K77=0,0,IF(ISNUMBER(E77),MAX(0,(E77+F77*'안내·설정'!$D$12)*IF(C77="공구",1,'안내·설정'!$D$6)-I77-J77),""))</x:f>
      </x:c>
      <x:c r="M77" s="30" t="str">
        <x:f>IF(ISNUMBER(L77),IF(H77&gt;0,ROUNDUP(L77/H77,0),""),"")</x:f>
      </x:c>
      <x:c r="N77" s="30" t="str">
        <x:f>IF(ISNUMBER(M77),M77*H77,"")</x:f>
      </x:c>
      <x:c r="O77" s="30" t="str">
        <x:f>IF(K77=0,0,IF(ISNUMBER(E77),I77+J77+N77-E77*IF(C77="공구",1,'안내·설정'!$D$6),""))</x:f>
      </x:c>
      <x:c r="P77" s="26"/>
      <x:c r="Q77" s="32" t="str">
        <x:f>IF(ISNUMBER(P77),IF(ISNUMBER(M77),P77*M77,""),"")</x:f>
      </x:c>
      <x:c r="R77" s="4" t="str">
        <x:v>사양·조달 보류</x:v>
      </x:c>
      <x:c r="S77" s="4"/>
      <x:c r="T77" s="4"/>
    </x:row>
    <x:row r="78" ht="58" customHeight="1">
      <x:c r="A78" s="4" t="str">
        <x:v>H13</x:v>
      </x:c>
      <x:c r="B78" s="4" t="str">
        <x:v>케이블·접속</x:v>
      </x:c>
      <x:c r="C78" s="4" t="str">
        <x:v>기본</x:v>
      </x:c>
      <x:c r="D78" s="4" t="str">
        <x:v>신호용 다심 하네스</x:v>
      </x:c>
      <x:c r="E78" s="22"/>
      <x:c r="F78" s="22" t="n">
        <x:v>0</x:v>
      </x:c>
      <x:c r="G78" s="4" t="str">
        <x:v>m</x:v>
      </x:c>
      <x:c r="H78" s="22" t="n">
        <x:v>1</x:v>
      </x:c>
      <x:c r="I78" s="22" t="n">
        <x:v>0</x:v>
      </x:c>
      <x:c r="J78" s="22" t="n">
        <x:v>0</x:v>
      </x:c>
      <x:c r="K78" s="30" t="n">
        <x:f>1</x:f>
        <x:v>1</x:v>
      </x:c>
      <x:c r="L78" s="30" t="str">
        <x:f>IF(K78=0,0,IF(ISNUMBER(E78),MAX(0,(E78+F78*'안내·설정'!$D$12)*IF(C78="공구",1,'안내·설정'!$D$6)-I78-J78),""))</x:f>
      </x:c>
      <x:c r="M78" s="30" t="str">
        <x:f>IF(ISNUMBER(L78),IF(H78&gt;0,ROUNDUP(L78/H78,0),""),"")</x:f>
      </x:c>
      <x:c r="N78" s="30" t="str">
        <x:f>IF(ISNUMBER(M78),M78*H78,"")</x:f>
      </x:c>
      <x:c r="O78" s="30" t="str">
        <x:f>IF(K78=0,0,IF(ISNUMBER(E78),I78+J78+N78-E78*IF(C78="공구",1,'안내·설정'!$D$6),""))</x:f>
      </x:c>
      <x:c r="P78" s="26"/>
      <x:c r="Q78" s="32" t="str">
        <x:f>IF(ISNUMBER(P78),IF(ISNUMBER(M78),P78*M78,""),"")</x:f>
      </x:c>
      <x:c r="R78" s="4" t="str">
        <x:v>사양·조달 보류</x:v>
      </x:c>
      <x:c r="S78" s="4"/>
      <x:c r="T78" s="4"/>
    </x:row>
    <x:row r="79" ht="58" customHeight="1">
      <x:c r="A79" s="4" t="str">
        <x:v>H14</x:v>
      </x:c>
      <x:c r="B79" s="4" t="str">
        <x:v>케이블·접속</x:v>
      </x:c>
      <x:c r="C79" s="4" t="str">
        <x:v>기본</x:v>
      </x:c>
      <x:c r="D79" s="4" t="str">
        <x:v>고전류 착탈 커넥터</x:v>
      </x:c>
      <x:c r="E79" s="22"/>
      <x:c r="F79" s="22" t="n">
        <x:v>0</x:v>
      </x:c>
      <x:c r="G79" s="4" t="str">
        <x:v>쌍</x:v>
      </x:c>
      <x:c r="H79" s="22" t="n">
        <x:v>1</x:v>
      </x:c>
      <x:c r="I79" s="22" t="n">
        <x:v>0</x:v>
      </x:c>
      <x:c r="J79" s="22" t="n">
        <x:v>0</x:v>
      </x:c>
      <x:c r="K79" s="30" t="n">
        <x:f>1</x:f>
        <x:v>1</x:v>
      </x:c>
      <x:c r="L79" s="30" t="str">
        <x:f>IF(K79=0,0,IF(ISNUMBER(E79),MAX(0,(E79+F79*'안내·설정'!$D$12)*IF(C79="공구",1,'안내·설정'!$D$6)-I79-J79),""))</x:f>
      </x:c>
      <x:c r="M79" s="30" t="str">
        <x:f>IF(ISNUMBER(L79),IF(H79&gt;0,ROUNDUP(L79/H79,0),""),"")</x:f>
      </x:c>
      <x:c r="N79" s="30" t="str">
        <x:f>IF(ISNUMBER(M79),M79*H79,"")</x:f>
      </x:c>
      <x:c r="O79" s="30" t="str">
        <x:f>IF(K79=0,0,IF(ISNUMBER(E79),I79+J79+N79-E79*IF(C79="공구",1,'안내·설정'!$D$6),""))</x:f>
      </x:c>
      <x:c r="P79" s="26"/>
      <x:c r="Q79" s="32" t="str">
        <x:f>IF(ISNUMBER(P79),IF(ISNUMBER(M79),P79*M79,""),"")</x:f>
      </x:c>
      <x:c r="R79" s="4" t="str">
        <x:v>사양·조달 보류</x:v>
      </x:c>
      <x:c r="S79" s="4"/>
      <x:c r="T79" s="4"/>
    </x:row>
    <x:row r="80" ht="58" customHeight="1">
      <x:c r="A80" s="4" t="str">
        <x:v>H15</x:v>
      </x:c>
      <x:c r="B80" s="4" t="str">
        <x:v>케이블·접속</x:v>
      </x:c>
      <x:c r="C80" s="4" t="str">
        <x:v>기본</x:v>
      </x:c>
      <x:c r="D80" s="4" t="str">
        <x:v>링 압착 단자</x:v>
      </x:c>
      <x:c r="E80" s="22"/>
      <x:c r="F80" s="22" t="n">
        <x:v>0</x:v>
      </x:c>
      <x:c r="G80" s="4" t="str">
        <x:v>개</x:v>
      </x:c>
      <x:c r="H80" s="22" t="n">
        <x:v>1</x:v>
      </x:c>
      <x:c r="I80" s="22" t="n">
        <x:v>0</x:v>
      </x:c>
      <x:c r="J80" s="22" t="n">
        <x:v>0</x:v>
      </x:c>
      <x:c r="K80" s="30" t="n">
        <x:f>1</x:f>
        <x:v>1</x:v>
      </x:c>
      <x:c r="L80" s="30" t="str">
        <x:f>IF(K80=0,0,IF(ISNUMBER(E80),MAX(0,(E80+F80*'안내·설정'!$D$12)*IF(C80="공구",1,'안내·설정'!$D$6)-I80-J80),""))</x:f>
      </x:c>
      <x:c r="M80" s="30" t="str">
        <x:f>IF(ISNUMBER(L80),IF(H80&gt;0,ROUNDUP(L80/H80,0),""),"")</x:f>
      </x:c>
      <x:c r="N80" s="30" t="str">
        <x:f>IF(ISNUMBER(M80),M80*H80,"")</x:f>
      </x:c>
      <x:c r="O80" s="30" t="str">
        <x:f>IF(K80=0,0,IF(ISNUMBER(E80),I80+J80+N80-E80*IF(C80="공구",1,'안내·설정'!$D$6),""))</x:f>
      </x:c>
      <x:c r="P80" s="26"/>
      <x:c r="Q80" s="32" t="str">
        <x:f>IF(ISNUMBER(P80),IF(ISNUMBER(M80),P80*M80,""),"")</x:f>
      </x:c>
      <x:c r="R80" s="4" t="str">
        <x:v>사양·조달 보류</x:v>
      </x:c>
      <x:c r="S80" s="4"/>
      <x:c r="T80" s="4"/>
    </x:row>
    <x:row r="81" ht="58" customHeight="1">
      <x:c r="A81" s="4" t="str">
        <x:v>H16</x:v>
      </x:c>
      <x:c r="B81" s="4" t="str">
        <x:v>케이블·접속</x:v>
      </x:c>
      <x:c r="C81" s="4" t="str">
        <x:v>기본</x:v>
      </x:c>
      <x:c r="D81" s="4" t="str">
        <x:v>페룰·핀 단자</x:v>
      </x:c>
      <x:c r="E81" s="22"/>
      <x:c r="F81" s="22" t="n">
        <x:v>0</x:v>
      </x:c>
      <x:c r="G81" s="4" t="str">
        <x:v>개</x:v>
      </x:c>
      <x:c r="H81" s="22" t="n">
        <x:v>1</x:v>
      </x:c>
      <x:c r="I81" s="22" t="n">
        <x:v>0</x:v>
      </x:c>
      <x:c r="J81" s="22" t="n">
        <x:v>0</x:v>
      </x:c>
      <x:c r="K81" s="30" t="n">
        <x:f>1</x:f>
        <x:v>1</x:v>
      </x:c>
      <x:c r="L81" s="30" t="str">
        <x:f>IF(K81=0,0,IF(ISNUMBER(E81),MAX(0,(E81+F81*'안내·설정'!$D$12)*IF(C81="공구",1,'안내·설정'!$D$6)-I81-J81),""))</x:f>
      </x:c>
      <x:c r="M81" s="30" t="str">
        <x:f>IF(ISNUMBER(L81),IF(H81&gt;0,ROUNDUP(L81/H81,0),""),"")</x:f>
      </x:c>
      <x:c r="N81" s="30" t="str">
        <x:f>IF(ISNUMBER(M81),M81*H81,"")</x:f>
      </x:c>
      <x:c r="O81" s="30" t="str">
        <x:f>IF(K81=0,0,IF(ISNUMBER(E81),I81+J81+N81-E81*IF(C81="공구",1,'안내·설정'!$D$6),""))</x:f>
      </x:c>
      <x:c r="P81" s="26"/>
      <x:c r="Q81" s="32" t="str">
        <x:f>IF(ISNUMBER(P81),IF(ISNUMBER(M81),P81*M81,""),"")</x:f>
      </x:c>
      <x:c r="R81" s="4" t="str">
        <x:v>사양·조달 보류</x:v>
      </x:c>
      <x:c r="S81" s="4"/>
      <x:c r="T81" s="4"/>
    </x:row>
    <x:row r="82" ht="58" customHeight="1">
      <x:c r="A82" s="4" t="str">
        <x:v>H17</x:v>
      </x:c>
      <x:c r="B82" s="4" t="str">
        <x:v>케이블·접속</x:v>
      </x:c>
      <x:c r="C82" s="4" t="str">
        <x:v>기본</x:v>
      </x:c>
      <x:c r="D82" s="4" t="str">
        <x:v>센서 잠금형 커넥터·접점</x:v>
      </x:c>
      <x:c r="E82" s="22"/>
      <x:c r="F82" s="22" t="n">
        <x:v>0</x:v>
      </x:c>
      <x:c r="G82" s="4" t="str">
        <x:v>세트</x:v>
      </x:c>
      <x:c r="H82" s="22" t="n">
        <x:v>1</x:v>
      </x:c>
      <x:c r="I82" s="22" t="n">
        <x:v>0</x:v>
      </x:c>
      <x:c r="J82" s="22" t="n">
        <x:v>0</x:v>
      </x:c>
      <x:c r="K82" s="30" t="n">
        <x:f>1</x:f>
        <x:v>1</x:v>
      </x:c>
      <x:c r="L82" s="30" t="str">
        <x:f>IF(K82=0,0,IF(ISNUMBER(E82),MAX(0,(E82+F82*'안내·설정'!$D$12)*IF(C82="공구",1,'안내·설정'!$D$6)-I82-J82),""))</x:f>
      </x:c>
      <x:c r="M82" s="30" t="str">
        <x:f>IF(ISNUMBER(L82),IF(H82&gt;0,ROUNDUP(L82/H82,0),""),"")</x:f>
      </x:c>
      <x:c r="N82" s="30" t="str">
        <x:f>IF(ISNUMBER(M82),M82*H82,"")</x:f>
      </x:c>
      <x:c r="O82" s="30" t="str">
        <x:f>IF(K82=0,0,IF(ISNUMBER(E82),I82+J82+N82-E82*IF(C82="공구",1,'안내·설정'!$D$6),""))</x:f>
      </x:c>
      <x:c r="P82" s="26"/>
      <x:c r="Q82" s="32" t="str">
        <x:f>IF(ISNUMBER(P82),IF(ISNUMBER(M82),P82*M82,""),"")</x:f>
      </x:c>
      <x:c r="R82" s="4" t="str">
        <x:v>사양·조달 보류</x:v>
      </x:c>
      <x:c r="S82" s="4"/>
      <x:c r="T82" s="4"/>
    </x:row>
    <x:row r="83" ht="58" customHeight="1">
      <x:c r="A83" s="4" t="str">
        <x:v>H18</x:v>
      </x:c>
      <x:c r="B83" s="4" t="str">
        <x:v>케이블·접속</x:v>
      </x:c>
      <x:c r="C83" s="4" t="str">
        <x:v>기본</x:v>
      </x:c>
      <x:c r="D83" s="4" t="str">
        <x:v>배터리 충전 포트·상대 플러그</x:v>
      </x:c>
      <x:c r="E83" s="22" t="n">
        <x:v>1</x:v>
      </x:c>
      <x:c r="F83" s="22" t="n">
        <x:v>0</x:v>
      </x:c>
      <x:c r="G83" s="4" t="str">
        <x:v>쌍</x:v>
      </x:c>
      <x:c r="H83" s="22" t="n">
        <x:v>1</x:v>
      </x:c>
      <x:c r="I83" s="22" t="n">
        <x:v>0</x:v>
      </x:c>
      <x:c r="J83" s="22" t="n">
        <x:v>0</x:v>
      </x:c>
      <x:c r="K83" s="30" t="n">
        <x:f>1</x:f>
        <x:v>1</x:v>
      </x:c>
      <x:c r="L83" s="30" t="n">
        <x:f>IF(K83=0,0,IF(ISNUMBER(E83),MAX(0,(E83+F83*'안내·설정'!$D$12)*IF(C83="공구",1,'안내·설정'!$D$6)-I83-J83),""))</x:f>
        <x:v>1</x:v>
      </x:c>
      <x:c r="M83" s="30" t="n">
        <x:f>IF(ISNUMBER(L83),IF(H83&gt;0,ROUNDUP(L83/H83,0),""),"")</x:f>
        <x:v>1</x:v>
      </x:c>
      <x:c r="N83" s="30" t="n">
        <x:f>IF(ISNUMBER(M83),M83*H83,"")</x:f>
        <x:v>1</x:v>
      </x:c>
      <x:c r="O83" s="30" t="n">
        <x:f>IF(K83=0,0,IF(ISNUMBER(E83),I83+J83+N83-E83*IF(C83="공구",1,'안내·설정'!$D$6),""))</x:f>
        <x:v>0</x:v>
      </x:c>
      <x:c r="P83" s="26"/>
      <x:c r="Q83" s="32" t="str">
        <x:f>IF(ISNUMBER(P83),IF(ISNUMBER(M83),P83*M83,""),"")</x:f>
      </x:c>
      <x:c r="R83" s="4" t="str">
        <x:v>사양·조달 보류</x:v>
      </x:c>
      <x:c r="S83" s="4"/>
      <x:c r="T83" s="4"/>
    </x:row>
    <x:row r="84" ht="58" customHeight="1">
      <x:c r="A84" s="4" t="str">
        <x:v>H19</x:v>
      </x:c>
      <x:c r="B84" s="4" t="str">
        <x:v>케이블·접속</x:v>
      </x:c>
      <x:c r="C84" s="4" t="str">
        <x:v>조향옵션</x:v>
      </x:c>
      <x:c r="D84" s="4" t="str">
        <x:v>좌/우 서보 전력·신호 하네스</x:v>
      </x:c>
      <x:c r="E84" s="22" t="n">
        <x:v>2</x:v>
      </x:c>
      <x:c r="F84" s="22" t="n">
        <x:v>0</x:v>
      </x:c>
      <x:c r="G84" s="4" t="str">
        <x:v>세트</x:v>
      </x:c>
      <x:c r="H84" s="22" t="n">
        <x:v>1</x:v>
      </x:c>
      <x:c r="I84" s="22" t="n">
        <x:v>0</x:v>
      </x:c>
      <x:c r="J84" s="22" t="n">
        <x:v>0</x:v>
      </x:c>
      <x:c r="K84" s="30" t="n">
        <x:f>'안내·설정'!$D$7</x:f>
        <x:v>0</x:v>
      </x:c>
      <x:c r="L84" s="30" t="n">
        <x:f>IF(K84=0,0,IF(ISNUMBER(E84),MAX(0,(E84+F84*'안내·설정'!$D$12)*IF(C84="공구",1,'안내·설정'!$D$6)-I84-J84),""))</x:f>
        <x:v>0</x:v>
      </x:c>
      <x:c r="M84" s="30" t="n">
        <x:f>IF(ISNUMBER(L84),IF(H84&gt;0,ROUNDUP(L84/H84,0),""),"")</x:f>
        <x:v>0</x:v>
      </x:c>
      <x:c r="N84" s="30" t="n">
        <x:f>IF(ISNUMBER(M84),M84*H84,"")</x:f>
        <x:v>0</x:v>
      </x:c>
      <x:c r="O84" s="30" t="n">
        <x:f>IF(K84=0,0,IF(ISNUMBER(E84),I84+J84+N84-E84*IF(C84="공구",1,'안내·설정'!$D$6),""))</x:f>
        <x:v>0</x:v>
      </x:c>
      <x:c r="P84" s="26"/>
      <x:c r="Q84" s="32" t="str">
        <x:f>IF(ISNUMBER(P84),IF(ISNUMBER(M84),P84*M84,""),"")</x:f>
      </x:c>
      <x:c r="R84" s="4" t="str">
        <x:v>사양·조달 보류</x:v>
      </x:c>
      <x:c r="S84" s="4"/>
      <x:c r="T84" s="4"/>
    </x:row>
    <x:row r="85" ht="58" customHeight="1">
      <x:c r="A85" s="4" t="str">
        <x:v>M01</x:v>
      </x:c>
      <x:c r="B85" s="4" t="str">
        <x:v>소모품·절연</x:v>
      </x:c>
      <x:c r="C85" s="4" t="str">
        <x:v>준비재료</x:v>
      </x:c>
      <x:c r="D85" s="4" t="str">
        <x:v>케이블 타이</x:v>
      </x:c>
      <x:c r="E85" s="22" t="n">
        <x:v>60</x:v>
      </x:c>
      <x:c r="F85" s="22" t="n">
        <x:v>40</x:v>
      </x:c>
      <x:c r="G85" s="4" t="str">
        <x:v>개</x:v>
      </x:c>
      <x:c r="H85" s="22" t="n">
        <x:v>100</x:v>
      </x:c>
      <x:c r="I85" s="22" t="n">
        <x:v>0</x:v>
      </x:c>
      <x:c r="J85" s="22" t="n">
        <x:v>0</x:v>
      </x:c>
      <x:c r="K85" s="30" t="n">
        <x:f>'안내·설정'!$D$10</x:f>
        <x:v>1</x:v>
      </x:c>
      <x:c r="L85" s="30" t="n">
        <x:f>IF(K85=0,0,IF(ISNUMBER(E85),MAX(0,(E85+F85*'안내·설정'!$D$12)*IF(C85="공구",1,'안내·설정'!$D$6)-I85-J85),""))</x:f>
        <x:v>100</x:v>
      </x:c>
      <x:c r="M85" s="30" t="n">
        <x:f>IF(ISNUMBER(L85),IF(H85&gt;0,ROUNDUP(L85/H85,0),""),"")</x:f>
        <x:v>1</x:v>
      </x:c>
      <x:c r="N85" s="30" t="n">
        <x:f>IF(ISNUMBER(M85),M85*H85,"")</x:f>
        <x:v>100</x:v>
      </x:c>
      <x:c r="O85" s="30" t="n">
        <x:f>IF(K85=0,0,IF(ISNUMBER(E85),I85+J85+N85-E85*IF(C85="공구",1,'안내·설정'!$D$6),""))</x:f>
        <x:v>40</x:v>
      </x:c>
      <x:c r="P85" s="26"/>
      <x:c r="Q85" s="32" t="str">
        <x:f>IF(ISNUMBER(P85),IF(ISNUMBER(M85),P85*M85,""),"")</x:f>
      </x:c>
      <x:c r="R85" s="4" t="str">
        <x:v>사양·조달 보류</x:v>
      </x:c>
      <x:c r="S85" s="4"/>
      <x:c r="T85" s="4"/>
    </x:row>
    <x:row r="86" ht="58" customHeight="1">
      <x:c r="A86" s="4" t="str">
        <x:v>M02</x:v>
      </x:c>
      <x:c r="B86" s="4" t="str">
        <x:v>소모품·절연</x:v>
      </x:c>
      <x:c r="C86" s="4" t="str">
        <x:v>준비재료</x:v>
      </x:c>
      <x:c r="D86" s="4" t="str">
        <x:v>열수축 튜브 묶음</x:v>
      </x:c>
      <x:c r="E86" s="22" t="n">
        <x:v>1</x:v>
      </x:c>
      <x:c r="F86" s="22" t="n">
        <x:v>0</x:v>
      </x:c>
      <x:c r="G86" s="4" t="str">
        <x:v>세트</x:v>
      </x:c>
      <x:c r="H86" s="22" t="n">
        <x:v>1</x:v>
      </x:c>
      <x:c r="I86" s="22" t="n">
        <x:v>0</x:v>
      </x:c>
      <x:c r="J86" s="22" t="n">
        <x:v>0</x:v>
      </x:c>
      <x:c r="K86" s="30" t="n">
        <x:f>'안내·설정'!$D$10</x:f>
        <x:v>1</x:v>
      </x:c>
      <x:c r="L86" s="30" t="n">
        <x:f>IF(K86=0,0,IF(ISNUMBER(E86),MAX(0,(E86+F86*'안내·설정'!$D$12)*IF(C86="공구",1,'안내·설정'!$D$6)-I86-J86),""))</x:f>
        <x:v>1</x:v>
      </x:c>
      <x:c r="M86" s="30" t="n">
        <x:f>IF(ISNUMBER(L86),IF(H86&gt;0,ROUNDUP(L86/H86,0),""),"")</x:f>
        <x:v>1</x:v>
      </x:c>
      <x:c r="N86" s="30" t="n">
        <x:f>IF(ISNUMBER(M86),M86*H86,"")</x:f>
        <x:v>1</x:v>
      </x:c>
      <x:c r="O86" s="30" t="n">
        <x:f>IF(K86=0,0,IF(ISNUMBER(E86),I86+J86+N86-E86*IF(C86="공구",1,'안내·설정'!$D$6),""))</x:f>
        <x:v>0</x:v>
      </x:c>
      <x:c r="P86" s="26"/>
      <x:c r="Q86" s="32" t="str">
        <x:f>IF(ISNUMBER(P86),IF(ISNUMBER(M86),P86*M86,""),"")</x:f>
      </x:c>
      <x:c r="R86" s="4" t="str">
        <x:v>사양·조달 보류</x:v>
      </x:c>
      <x:c r="S86" s="4"/>
      <x:c r="T86" s="4"/>
    </x:row>
    <x:row r="87" ht="58" customHeight="1">
      <x:c r="A87" s="4" t="str">
        <x:v>M03</x:v>
      </x:c>
      <x:c r="B87" s="4" t="str">
        <x:v>소모품·절연</x:v>
      </x:c>
      <x:c r="C87" s="4" t="str">
        <x:v>준비재료</x:v>
      </x:c>
      <x:c r="D87" s="4" t="str">
        <x:v>센서선 스파이럴 랩</x:v>
      </x:c>
      <x:c r="E87" s="22" t="n">
        <x:v>4</x:v>
      </x:c>
      <x:c r="F87" s="22" t="n">
        <x:v>2</x:v>
      </x:c>
      <x:c r="G87" s="4" t="str">
        <x:v>m</x:v>
      </x:c>
      <x:c r="H87" s="22" t="n">
        <x:v>2</x:v>
      </x:c>
      <x:c r="I87" s="22" t="n">
        <x:v>0</x:v>
      </x:c>
      <x:c r="J87" s="22" t="n">
        <x:v>0</x:v>
      </x:c>
      <x:c r="K87" s="30" t="n">
        <x:f>'안내·설정'!$D$10</x:f>
        <x:v>1</x:v>
      </x:c>
      <x:c r="L87" s="30" t="n">
        <x:f>IF(K87=0,0,IF(ISNUMBER(E87),MAX(0,(E87+F87*'안내·설정'!$D$12)*IF(C87="공구",1,'안내·설정'!$D$6)-I87-J87),""))</x:f>
        <x:v>6</x:v>
      </x:c>
      <x:c r="M87" s="30" t="n">
        <x:f>IF(ISNUMBER(L87),IF(H87&gt;0,ROUNDUP(L87/H87,0),""),"")</x:f>
        <x:v>3</x:v>
      </x:c>
      <x:c r="N87" s="30" t="n">
        <x:f>IF(ISNUMBER(M87),M87*H87,"")</x:f>
        <x:v>6</x:v>
      </x:c>
      <x:c r="O87" s="30" t="n">
        <x:f>IF(K87=0,0,IF(ISNUMBER(E87),I87+J87+N87-E87*IF(C87="공구",1,'안내·설정'!$D$6),""))</x:f>
        <x:v>2</x:v>
      </x:c>
      <x:c r="P87" s="26" t="n">
        <x:v>3300</x:v>
      </x:c>
      <x:c r="Q87" s="32" t="n">
        <x:f>IF(ISNUMBER(P87),IF(ISNUMBER(M87),P87*M87,""),"")</x:f>
        <x:v>9900</x:v>
      </x:c>
      <x:c r="R87" s="4" t="str">
        <x:v>번들치수·출고 확인</x:v>
      </x:c>
      <x:c r="S87" s="4" t="str">
        <x:v>P14</x:v>
      </x:c>
      <x:c r="T87" s="4" t="str">
        <x:v>https://eduino.kr/product/detail.html?product_no=5881</x:v>
      </x:c>
    </x:row>
    <x:row r="88" ht="58" customHeight="1">
      <x:c r="A88" s="4" t="str">
        <x:v>M04</x:v>
      </x:c>
      <x:c r="B88" s="4" t="str">
        <x:v>소모품·절연</x:v>
      </x:c>
      <x:c r="C88" s="4" t="str">
        <x:v>준비재료</x:v>
      </x:c>
      <x:c r="D88" s="4" t="str">
        <x:v>내구성 케이블 라벨</x:v>
      </x:c>
      <x:c r="E88" s="22" t="n">
        <x:v>1</x:v>
      </x:c>
      <x:c r="F88" s="22" t="n">
        <x:v>0</x:v>
      </x:c>
      <x:c r="G88" s="4" t="str">
        <x:v>세트</x:v>
      </x:c>
      <x:c r="H88" s="22" t="n">
        <x:v>1</x:v>
      </x:c>
      <x:c r="I88" s="22" t="n">
        <x:v>0</x:v>
      </x:c>
      <x:c r="J88" s="22" t="n">
        <x:v>0</x:v>
      </x:c>
      <x:c r="K88" s="30" t="n">
        <x:f>'안내·설정'!$D$10</x:f>
        <x:v>1</x:v>
      </x:c>
      <x:c r="L88" s="30" t="n">
        <x:f>IF(K88=0,0,IF(ISNUMBER(E88),MAX(0,(E88+F88*'안내·설정'!$D$12)*IF(C88="공구",1,'안내·설정'!$D$6)-I88-J88),""))</x:f>
        <x:v>1</x:v>
      </x:c>
      <x:c r="M88" s="30" t="n">
        <x:f>IF(ISNUMBER(L88),IF(H88&gt;0,ROUNDUP(L88/H88,0),""),"")</x:f>
        <x:v>1</x:v>
      </x:c>
      <x:c r="N88" s="30" t="n">
        <x:f>IF(ISNUMBER(M88),M88*H88,"")</x:f>
        <x:v>1</x:v>
      </x:c>
      <x:c r="O88" s="30" t="n">
        <x:f>IF(K88=0,0,IF(ISNUMBER(E88),I88+J88+N88-E88*IF(C88="공구",1,'안내·설정'!$D$6),""))</x:f>
        <x:v>0</x:v>
      </x:c>
      <x:c r="P88" s="26"/>
      <x:c r="Q88" s="32" t="str">
        <x:f>IF(ISNUMBER(P88),IF(ISNUMBER(M88),P88*M88,""),"")</x:f>
      </x:c>
      <x:c r="R88" s="4" t="str">
        <x:v>사양·조달 보류</x:v>
      </x:c>
      <x:c r="S88" s="4"/>
      <x:c r="T88" s="4"/>
    </x:row>
    <x:row r="89" ht="58" customHeight="1">
      <x:c r="A89" s="4" t="str">
        <x:v>M05</x:v>
      </x:c>
      <x:c r="B89" s="4" t="str">
        <x:v>소모품·절연</x:v>
      </x:c>
      <x:c r="C89" s="4" t="str">
        <x:v>기본</x:v>
      </x:c>
      <x:c r="D89" s="4" t="str">
        <x:v>케이블 글랜드·고무 그로밋</x:v>
      </x:c>
      <x:c r="E89" s="22"/>
      <x:c r="F89" s="22" t="n">
        <x:v>0</x:v>
      </x:c>
      <x:c r="G89" s="4" t="str">
        <x:v>개</x:v>
      </x:c>
      <x:c r="H89" s="22" t="n">
        <x:v>1</x:v>
      </x:c>
      <x:c r="I89" s="22" t="n">
        <x:v>0</x:v>
      </x:c>
      <x:c r="J89" s="22" t="n">
        <x:v>0</x:v>
      </x:c>
      <x:c r="K89" s="30" t="n">
        <x:f>1</x:f>
        <x:v>1</x:v>
      </x:c>
      <x:c r="L89" s="30" t="str">
        <x:f>IF(K89=0,0,IF(ISNUMBER(E89),MAX(0,(E89+F89*'안내·설정'!$D$12)*IF(C89="공구",1,'안내·설정'!$D$6)-I89-J89),""))</x:f>
      </x:c>
      <x:c r="M89" s="30" t="str">
        <x:f>IF(ISNUMBER(L89),IF(H89&gt;0,ROUNDUP(L89/H89,0),""),"")</x:f>
      </x:c>
      <x:c r="N89" s="30" t="str">
        <x:f>IF(ISNUMBER(M89),M89*H89,"")</x:f>
      </x:c>
      <x:c r="O89" s="30" t="str">
        <x:f>IF(K89=0,0,IF(ISNUMBER(E89),I89+J89+N89-E89*IF(C89="공구",1,'안내·설정'!$D$6),""))</x:f>
      </x:c>
      <x:c r="P89" s="26"/>
      <x:c r="Q89" s="32" t="str">
        <x:f>IF(ISNUMBER(P89),IF(ISNUMBER(M89),P89*M89,""),"")</x:f>
      </x:c>
      <x:c r="R89" s="4" t="str">
        <x:v>사양·조달 보류</x:v>
      </x:c>
      <x:c r="S89" s="4"/>
      <x:c r="T89" s="4"/>
    </x:row>
    <x:row r="90" ht="58" customHeight="1">
      <x:c r="A90" s="4" t="str">
        <x:v>M06</x:v>
      </x:c>
      <x:c r="B90" s="4" t="str">
        <x:v>소모품·절연</x:v>
      </x:c>
      <x:c r="C90" s="4" t="str">
        <x:v>기본</x:v>
      </x:c>
      <x:c r="D90" s="4" t="str">
        <x:v>케이블 고정 클램프·P클립</x:v>
      </x:c>
      <x:c r="E90" s="22"/>
      <x:c r="F90" s="22" t="n">
        <x:v>0</x:v>
      </x:c>
      <x:c r="G90" s="4" t="str">
        <x:v>개</x:v>
      </x:c>
      <x:c r="H90" s="22" t="n">
        <x:v>1</x:v>
      </x:c>
      <x:c r="I90" s="22" t="n">
        <x:v>0</x:v>
      </x:c>
      <x:c r="J90" s="22" t="n">
        <x:v>0</x:v>
      </x:c>
      <x:c r="K90" s="30" t="n">
        <x:f>1</x:f>
        <x:v>1</x:v>
      </x:c>
      <x:c r="L90" s="30" t="str">
        <x:f>IF(K90=0,0,IF(ISNUMBER(E90),MAX(0,(E90+F90*'안내·설정'!$D$12)*IF(C90="공구",1,'안내·설정'!$D$6)-I90-J90),""))</x:f>
      </x:c>
      <x:c r="M90" s="30" t="str">
        <x:f>IF(ISNUMBER(L90),IF(H90&gt;0,ROUNDUP(L90/H90,0),""),"")</x:f>
      </x:c>
      <x:c r="N90" s="30" t="str">
        <x:f>IF(ISNUMBER(M90),M90*H90,"")</x:f>
      </x:c>
      <x:c r="O90" s="30" t="str">
        <x:f>IF(K90=0,0,IF(ISNUMBER(E90),I90+J90+N90-E90*IF(C90="공구",1,'안내·설정'!$D$6),""))</x:f>
      </x:c>
      <x:c r="P90" s="26"/>
      <x:c r="Q90" s="32" t="str">
        <x:f>IF(ISNUMBER(P90),IF(ISNUMBER(M90),P90*M90,""),"")</x:f>
      </x:c>
      <x:c r="R90" s="4" t="str">
        <x:v>사양·조달 보류</x:v>
      </x:c>
      <x:c r="S90" s="4"/>
      <x:c r="T90" s="4"/>
    </x:row>
    <x:row r="91" ht="58" customHeight="1">
      <x:c r="A91" s="4" t="str">
        <x:v>M07</x:v>
      </x:c>
      <x:c r="B91" s="4" t="str">
        <x:v>소모품·절연</x:v>
      </x:c>
      <x:c r="C91" s="4" t="str">
        <x:v>준비재료</x:v>
      </x:c>
      <x:c r="D91" s="4" t="str">
        <x:v>전기 절연 테이프</x:v>
      </x:c>
      <x:c r="E91" s="22" t="n">
        <x:v>1</x:v>
      </x:c>
      <x:c r="F91" s="22" t="n">
        <x:v>1</x:v>
      </x:c>
      <x:c r="G91" s="4" t="str">
        <x:v>롤</x:v>
      </x:c>
      <x:c r="H91" s="22" t="n">
        <x:v>1</x:v>
      </x:c>
      <x:c r="I91" s="22" t="n">
        <x:v>0</x:v>
      </x:c>
      <x:c r="J91" s="22" t="n">
        <x:v>0</x:v>
      </x:c>
      <x:c r="K91" s="30" t="n">
        <x:f>'안내·설정'!$D$10</x:f>
        <x:v>1</x:v>
      </x:c>
      <x:c r="L91" s="30" t="n">
        <x:f>IF(K91=0,0,IF(ISNUMBER(E91),MAX(0,(E91+F91*'안내·설정'!$D$12)*IF(C91="공구",1,'안내·설정'!$D$6)-I91-J91),""))</x:f>
        <x:v>2</x:v>
      </x:c>
      <x:c r="M91" s="30" t="n">
        <x:f>IF(ISNUMBER(L91),IF(H91&gt;0,ROUNDUP(L91/H91,0),""),"")</x:f>
        <x:v>2</x:v>
      </x:c>
      <x:c r="N91" s="30" t="n">
        <x:f>IF(ISNUMBER(M91),M91*H91,"")</x:f>
        <x:v>2</x:v>
      </x:c>
      <x:c r="O91" s="30" t="n">
        <x:f>IF(K91=0,0,IF(ISNUMBER(E91),I91+J91+N91-E91*IF(C91="공구",1,'안내·설정'!$D$6),""))</x:f>
        <x:v>1</x:v>
      </x:c>
      <x:c r="P91" s="26"/>
      <x:c r="Q91" s="32" t="str">
        <x:f>IF(ISNUMBER(P91),IF(ISNUMBER(M91),P91*M91,""),"")</x:f>
      </x:c>
      <x:c r="R91" s="4" t="str">
        <x:v>사양·조달 보류</x:v>
      </x:c>
      <x:c r="S91" s="4"/>
      <x:c r="T91" s="4"/>
    </x:row>
    <x:row r="92" ht="58" customHeight="1">
      <x:c r="A92" s="4" t="str">
        <x:v>M08</x:v>
      </x:c>
      <x:c r="B92" s="4" t="str">
        <x:v>소모품·절연</x:v>
      </x:c>
      <x:c r="C92" s="4" t="str">
        <x:v>준비재료</x:v>
      </x:c>
      <x:c r="D92" s="4" t="str">
        <x:v>납·플럭스·세척 재료</x:v>
      </x:c>
      <x:c r="E92" s="22" t="n">
        <x:v>1</x:v>
      </x:c>
      <x:c r="F92" s="22" t="n">
        <x:v>0</x:v>
      </x:c>
      <x:c r="G92" s="4" t="str">
        <x:v>세트</x:v>
      </x:c>
      <x:c r="H92" s="22" t="n">
        <x:v>1</x:v>
      </x:c>
      <x:c r="I92" s="22" t="n">
        <x:v>0</x:v>
      </x:c>
      <x:c r="J92" s="22" t="n">
        <x:v>0</x:v>
      </x:c>
      <x:c r="K92" s="30" t="n">
        <x:f>'안내·설정'!$D$10</x:f>
        <x:v>1</x:v>
      </x:c>
      <x:c r="L92" s="30" t="n">
        <x:f>IF(K92=0,0,IF(ISNUMBER(E92),MAX(0,(E92+F92*'안내·설정'!$D$12)*IF(C92="공구",1,'안내·설정'!$D$6)-I92-J92),""))</x:f>
        <x:v>1</x:v>
      </x:c>
      <x:c r="M92" s="30" t="n">
        <x:f>IF(ISNUMBER(L92),IF(H92&gt;0,ROUNDUP(L92/H92,0),""),"")</x:f>
        <x:v>1</x:v>
      </x:c>
      <x:c r="N92" s="30" t="n">
        <x:f>IF(ISNUMBER(M92),M92*H92,"")</x:f>
        <x:v>1</x:v>
      </x:c>
      <x:c r="O92" s="30" t="n">
        <x:f>IF(K92=0,0,IF(ISNUMBER(E92),I92+J92+N92-E92*IF(C92="공구",1,'안내·설정'!$D$6),""))</x:f>
        <x:v>0</x:v>
      </x:c>
      <x:c r="P92" s="26"/>
      <x:c r="Q92" s="32" t="str">
        <x:f>IF(ISNUMBER(P92),IF(ISNUMBER(M92),P92*M92,""),"")</x:f>
      </x:c>
      <x:c r="R92" s="4" t="str">
        <x:v>사양·조달 보류</x:v>
      </x:c>
      <x:c r="S92" s="4"/>
      <x:c r="T92" s="4"/>
    </x:row>
    <x:row r="93" ht="58" customHeight="1">
      <x:c r="A93" s="4" t="str">
        <x:v>G01</x:v>
      </x:c>
      <x:c r="B93" s="4" t="str">
        <x:v>기구·장착</x:v>
      </x:c>
      <x:c r="C93" s="4" t="str">
        <x:v>기본</x:v>
      </x:c>
      <x:c r="D93" s="4" t="str">
        <x:v>평판대차 기본 프레임·적재판</x:v>
      </x:c>
      <x:c r="E93" s="22" t="n">
        <x:v>1</x:v>
      </x:c>
      <x:c r="F93" s="22" t="n">
        <x:v>0</x:v>
      </x:c>
      <x:c r="G93" s="4" t="str">
        <x:v>식</x:v>
      </x:c>
      <x:c r="H93" s="22" t="n">
        <x:v>1</x:v>
      </x:c>
      <x:c r="I93" s="22" t="n">
        <x:v>0</x:v>
      </x:c>
      <x:c r="J93" s="22" t="n">
        <x:v>0</x:v>
      </x:c>
      <x:c r="K93" s="30" t="n">
        <x:f>1</x:f>
        <x:v>1</x:v>
      </x:c>
      <x:c r="L93" s="30" t="n">
        <x:f>IF(K93=0,0,IF(ISNUMBER(E93),MAX(0,(E93+F93*'안내·설정'!$D$12)*IF(C93="공구",1,'안내·설정'!$D$6)-I93-J93),""))</x:f>
        <x:v>1</x:v>
      </x:c>
      <x:c r="M93" s="30" t="n">
        <x:f>IF(ISNUMBER(L93),IF(H93&gt;0,ROUNDUP(L93/H93,0),""),"")</x:f>
        <x:v>1</x:v>
      </x:c>
      <x:c r="N93" s="30" t="n">
        <x:f>IF(ISNUMBER(M93),M93*H93,"")</x:f>
        <x:v>1</x:v>
      </x:c>
      <x:c r="O93" s="30" t="n">
        <x:f>IF(K93=0,0,IF(ISNUMBER(E93),I93+J93+N93-E93*IF(C93="공구",1,'안내·설정'!$D$6),""))</x:f>
        <x:v>0</x:v>
      </x:c>
      <x:c r="P93" s="26"/>
      <x:c r="Q93" s="32" t="str">
        <x:f>IF(ISNUMBER(P93),IF(ISNUMBER(M93),P93*M93,""),"")</x:f>
      </x:c>
      <x:c r="R93" s="4" t="str">
        <x:v>사양·조달 보류</x:v>
      </x:c>
      <x:c r="S93" s="4"/>
      <x:c r="T93" s="4"/>
    </x:row>
    <x:row r="94" ht="58" customHeight="1">
      <x:c r="A94" s="4" t="str">
        <x:v>G02</x:v>
      </x:c>
      <x:c r="B94" s="4" t="str">
        <x:v>기구·장착</x:v>
      </x:c>
      <x:c r="C94" s="4" t="str">
        <x:v>기본</x:v>
      </x:c>
      <x:c r="D94" s="4" t="str">
        <x:v>삼면 가드 프레임</x:v>
      </x:c>
      <x:c r="E94" s="22" t="n">
        <x:v>1</x:v>
      </x:c>
      <x:c r="F94" s="22" t="n">
        <x:v>0</x:v>
      </x:c>
      <x:c r="G94" s="4" t="str">
        <x:v>식</x:v>
      </x:c>
      <x:c r="H94" s="22" t="n">
        <x:v>1</x:v>
      </x:c>
      <x:c r="I94" s="22" t="n">
        <x:v>0</x:v>
      </x:c>
      <x:c r="J94" s="22" t="n">
        <x:v>0</x:v>
      </x:c>
      <x:c r="K94" s="30" t="n">
        <x:f>1</x:f>
        <x:v>1</x:v>
      </x:c>
      <x:c r="L94" s="30" t="n">
        <x:f>IF(K94=0,0,IF(ISNUMBER(E94),MAX(0,(E94+F94*'안내·설정'!$D$12)*IF(C94="공구",1,'안내·설정'!$D$6)-I94-J94),""))</x:f>
        <x:v>1</x:v>
      </x:c>
      <x:c r="M94" s="30" t="n">
        <x:f>IF(ISNUMBER(L94),IF(H94&gt;0,ROUNDUP(L94/H94,0),""),"")</x:f>
        <x:v>1</x:v>
      </x:c>
      <x:c r="N94" s="30" t="n">
        <x:f>IF(ISNUMBER(M94),M94*H94,"")</x:f>
        <x:v>1</x:v>
      </x:c>
      <x:c r="O94" s="30" t="n">
        <x:f>IF(K94=0,0,IF(ISNUMBER(E94),I94+J94+N94-E94*IF(C94="공구",1,'안내·설정'!$D$6),""))</x:f>
        <x:v>0</x:v>
      </x:c>
      <x:c r="P94" s="26"/>
      <x:c r="Q94" s="32" t="str">
        <x:f>IF(ISNUMBER(P94),IF(ISNUMBER(M94),P94*M94,""),"")</x:f>
      </x:c>
      <x:c r="R94" s="4" t="str">
        <x:v>사양·조달 보류</x:v>
      </x:c>
      <x:c r="S94" s="4"/>
      <x:c r="T94" s="4"/>
    </x:row>
    <x:row r="95" ht="58" customHeight="1">
      <x:c r="A95" s="4" t="str">
        <x:v>G03</x:v>
      </x:c>
      <x:c r="B95" s="4" t="str">
        <x:v>기구·장착</x:v>
      </x:c>
      <x:c r="C95" s="4" t="str">
        <x:v>기본</x:v>
      </x:c>
      <x:c r="D95" s="4" t="str">
        <x:v>접이식 손잡이</x:v>
      </x:c>
      <x:c r="E95" s="22" t="n">
        <x:v>1</x:v>
      </x:c>
      <x:c r="F95" s="22" t="n">
        <x:v>0</x:v>
      </x:c>
      <x:c r="G95" s="4" t="str">
        <x:v>개</x:v>
      </x:c>
      <x:c r="H95" s="22" t="n">
        <x:v>1</x:v>
      </x:c>
      <x:c r="I95" s="22" t="n">
        <x:v>0</x:v>
      </x:c>
      <x:c r="J95" s="22" t="n">
        <x:v>0</x:v>
      </x:c>
      <x:c r="K95" s="30" t="n">
        <x:f>1</x:f>
        <x:v>1</x:v>
      </x:c>
      <x:c r="L95" s="30" t="n">
        <x:f>IF(K95=0,0,IF(ISNUMBER(E95),MAX(0,(E95+F95*'안내·설정'!$D$12)*IF(C95="공구",1,'안내·설정'!$D$6)-I95-J95),""))</x:f>
        <x:v>1</x:v>
      </x:c>
      <x:c r="M95" s="30" t="n">
        <x:f>IF(ISNUMBER(L95),IF(H95&gt;0,ROUNDUP(L95/H95,0),""),"")</x:f>
        <x:v>1</x:v>
      </x:c>
      <x:c r="N95" s="30" t="n">
        <x:f>IF(ISNUMBER(M95),M95*H95,"")</x:f>
        <x:v>1</x:v>
      </x:c>
      <x:c r="O95" s="30" t="n">
        <x:f>IF(K95=0,0,IF(ISNUMBER(E95),I95+J95+N95-E95*IF(C95="공구",1,'안내·설정'!$D$6),""))</x:f>
        <x:v>0</x:v>
      </x:c>
      <x:c r="P95" s="26"/>
      <x:c r="Q95" s="32" t="str">
        <x:f>IF(ISNUMBER(P95),IF(ISNUMBER(M95),P95*M95,""),"")</x:f>
      </x:c>
      <x:c r="R95" s="4" t="str">
        <x:v>사양·조달 보류</x:v>
      </x:c>
      <x:c r="S95" s="4"/>
      <x:c r="T95" s="4"/>
    </x:row>
    <x:row r="96" ht="58" customHeight="1">
      <x:c r="A96" s="4" t="str">
        <x:v>G04</x:v>
      </x:c>
      <x:c r="B96" s="4" t="str">
        <x:v>기구·장착</x:v>
      </x:c>
      <x:c r="C96" s="4" t="str">
        <x:v>기본</x:v>
      </x:c>
      <x:c r="D96" s="4" t="str">
        <x:v>손잡이 힌지·잠금부</x:v>
      </x:c>
      <x:c r="E96" s="22" t="n">
        <x:v>2</x:v>
      </x:c>
      <x:c r="F96" s="22" t="n">
        <x:v>0</x:v>
      </x:c>
      <x:c r="G96" s="4" t="str">
        <x:v>세트</x:v>
      </x:c>
      <x:c r="H96" s="22" t="n">
        <x:v>1</x:v>
      </x:c>
      <x:c r="I96" s="22" t="n">
        <x:v>0</x:v>
      </x:c>
      <x:c r="J96" s="22" t="n">
        <x:v>0</x:v>
      </x:c>
      <x:c r="K96" s="30" t="n">
        <x:f>1</x:f>
        <x:v>1</x:v>
      </x:c>
      <x:c r="L96" s="30" t="n">
        <x:f>IF(K96=0,0,IF(ISNUMBER(E96),MAX(0,(E96+F96*'안내·설정'!$D$12)*IF(C96="공구",1,'안내·설정'!$D$6)-I96-J96),""))</x:f>
        <x:v>2</x:v>
      </x:c>
      <x:c r="M96" s="30" t="n">
        <x:f>IF(ISNUMBER(L96),IF(H96&gt;0,ROUNDUP(L96/H96,0),""),"")</x:f>
        <x:v>2</x:v>
      </x:c>
      <x:c r="N96" s="30" t="n">
        <x:f>IF(ISNUMBER(M96),M96*H96,"")</x:f>
        <x:v>2</x:v>
      </x:c>
      <x:c r="O96" s="30" t="n">
        <x:f>IF(K96=0,0,IF(ISNUMBER(E96),I96+J96+N96-E96*IF(C96="공구",1,'안내·설정'!$D$6),""))</x:f>
        <x:v>0</x:v>
      </x:c>
      <x:c r="P96" s="26"/>
      <x:c r="Q96" s="32" t="str">
        <x:f>IF(ISNUMBER(P96),IF(ISNUMBER(M96),P96*M96,""),"")</x:f>
      </x:c>
      <x:c r="R96" s="4" t="str">
        <x:v>사양·조달 보류</x:v>
      </x:c>
      <x:c r="S96" s="4"/>
      <x:c r="T96" s="4"/>
    </x:row>
    <x:row r="97" ht="58" customHeight="1">
      <x:c r="A97" s="4" t="str">
        <x:v>G05</x:v>
      </x:c>
      <x:c r="B97" s="4" t="str">
        <x:v>기구·장착</x:v>
      </x:c>
      <x:c r="C97" s="4" t="str">
        <x:v>기본</x:v>
      </x:c>
      <x:c r="D97" s="4" t="str">
        <x:v>손잡이 그립</x:v>
      </x:c>
      <x:c r="E97" s="22" t="n">
        <x:v>1</x:v>
      </x:c>
      <x:c r="F97" s="22" t="n">
        <x:v>0</x:v>
      </x:c>
      <x:c r="G97" s="4" t="str">
        <x:v>개</x:v>
      </x:c>
      <x:c r="H97" s="22" t="n">
        <x:v>1</x:v>
      </x:c>
      <x:c r="I97" s="22" t="n">
        <x:v>0</x:v>
      </x:c>
      <x:c r="J97" s="22" t="n">
        <x:v>0</x:v>
      </x:c>
      <x:c r="K97" s="30" t="n">
        <x:f>1</x:f>
        <x:v>1</x:v>
      </x:c>
      <x:c r="L97" s="30" t="n">
        <x:f>IF(K97=0,0,IF(ISNUMBER(E97),MAX(0,(E97+F97*'안내·설정'!$D$12)*IF(C97="공구",1,'안내·설정'!$D$6)-I97-J97),""))</x:f>
        <x:v>1</x:v>
      </x:c>
      <x:c r="M97" s="30" t="n">
        <x:f>IF(ISNUMBER(L97),IF(H97&gt;0,ROUNDUP(L97/H97,0),""),"")</x:f>
        <x:v>1</x:v>
      </x:c>
      <x:c r="N97" s="30" t="n">
        <x:f>IF(ISNUMBER(M97),M97*H97,"")</x:f>
        <x:v>1</x:v>
      </x:c>
      <x:c r="O97" s="30" t="n">
        <x:f>IF(K97=0,0,IF(ISNUMBER(E97),I97+J97+N97-E97*IF(C97="공구",1,'안내·설정'!$D$6),""))</x:f>
        <x:v>0</x:v>
      </x:c>
      <x:c r="P97" s="26"/>
      <x:c r="Q97" s="32" t="str">
        <x:f>IF(ISNUMBER(P97),IF(ISNUMBER(M97),P97*M97,""),"")</x:f>
      </x:c>
      <x:c r="R97" s="4" t="str">
        <x:v>사양·조달 보류</x:v>
      </x:c>
      <x:c r="S97" s="4"/>
      <x:c r="T97" s="4"/>
    </x:row>
    <x:row r="98" ht="58" customHeight="1">
      <x:c r="A98" s="4" t="str">
        <x:v>G06</x:v>
      </x:c>
      <x:c r="B98" s="4" t="str">
        <x:v>기구·장착</x:v>
      </x:c>
      <x:c r="C98" s="4" t="str">
        <x:v>기본</x:v>
      </x:c>
      <x:c r="D98" s="4" t="str">
        <x:v>미끄럼방지 적재 매트</x:v>
      </x:c>
      <x:c r="E98" s="22" t="n">
        <x:v>1</x:v>
      </x:c>
      <x:c r="F98" s="22" t="n">
        <x:v>0</x:v>
      </x:c>
      <x:c r="G98" s="4" t="str">
        <x:v>장</x:v>
      </x:c>
      <x:c r="H98" s="22" t="n">
        <x:v>1</x:v>
      </x:c>
      <x:c r="I98" s="22" t="n">
        <x:v>0</x:v>
      </x:c>
      <x:c r="J98" s="22" t="n">
        <x:v>0</x:v>
      </x:c>
      <x:c r="K98" s="30" t="n">
        <x:f>1</x:f>
        <x:v>1</x:v>
      </x:c>
      <x:c r="L98" s="30" t="n">
        <x:f>IF(K98=0,0,IF(ISNUMBER(E98),MAX(0,(E98+F98*'안내·설정'!$D$12)*IF(C98="공구",1,'안내·설정'!$D$6)-I98-J98),""))</x:f>
        <x:v>1</x:v>
      </x:c>
      <x:c r="M98" s="30" t="n">
        <x:f>IF(ISNUMBER(L98),IF(H98&gt;0,ROUNDUP(L98/H98,0),""),"")</x:f>
        <x:v>1</x:v>
      </x:c>
      <x:c r="N98" s="30" t="n">
        <x:f>IF(ISNUMBER(M98),M98*H98,"")</x:f>
        <x:v>1</x:v>
      </x:c>
      <x:c r="O98" s="30" t="n">
        <x:f>IF(K98=0,0,IF(ISNUMBER(E98),I98+J98+N98-E98*IF(C98="공구",1,'안내·설정'!$D$6),""))</x:f>
        <x:v>0</x:v>
      </x:c>
      <x:c r="P98" s="26"/>
      <x:c r="Q98" s="32" t="str">
        <x:f>IF(ISNUMBER(P98),IF(ISNUMBER(M98),P98*M98,""),"")</x:f>
      </x:c>
      <x:c r="R98" s="4" t="str">
        <x:v>사양·조달 보류</x:v>
      </x:c>
      <x:c r="S98" s="4"/>
      <x:c r="T98" s="4"/>
    </x:row>
    <x:row r="99" ht="58" customHeight="1">
      <x:c r="A99" s="4" t="str">
        <x:v>G07</x:v>
      </x:c>
      <x:c r="B99" s="4" t="str">
        <x:v>기구·장착</x:v>
      </x:c>
      <x:c r="C99" s="4" t="str">
        <x:v>기본</x:v>
      </x:c>
      <x:c r="D99" s="4" t="str">
        <x:v>후륜 구동 휠</x:v>
      </x:c>
      <x:c r="E99" s="22" t="n">
        <x:v>2</x:v>
      </x:c>
      <x:c r="F99" s="22" t="n">
        <x:v>0</x:v>
      </x:c>
      <x:c r="G99" s="4" t="str">
        <x:v>개</x:v>
      </x:c>
      <x:c r="H99" s="22" t="n">
        <x:v>1</x:v>
      </x:c>
      <x:c r="I99" s="22" t="n">
        <x:v>0</x:v>
      </x:c>
      <x:c r="J99" s="22" t="n">
        <x:v>0</x:v>
      </x:c>
      <x:c r="K99" s="30" t="n">
        <x:f>1</x:f>
        <x:v>1</x:v>
      </x:c>
      <x:c r="L99" s="30" t="n">
        <x:f>IF(K99=0,0,IF(ISNUMBER(E99),MAX(0,(E99+F99*'안내·설정'!$D$12)*IF(C99="공구",1,'안내·설정'!$D$6)-I99-J99),""))</x:f>
        <x:v>2</x:v>
      </x:c>
      <x:c r="M99" s="30" t="n">
        <x:f>IF(ISNUMBER(L99),IF(H99&gt;0,ROUNDUP(L99/H99,0),""),"")</x:f>
        <x:v>2</x:v>
      </x:c>
      <x:c r="N99" s="30" t="n">
        <x:f>IF(ISNUMBER(M99),M99*H99,"")</x:f>
        <x:v>2</x:v>
      </x:c>
      <x:c r="O99" s="30" t="n">
        <x:f>IF(K99=0,0,IF(ISNUMBER(E99),I99+J99+N99-E99*IF(C99="공구",1,'안내·설정'!$D$6),""))</x:f>
        <x:v>0</x:v>
      </x:c>
      <x:c r="P99" s="26"/>
      <x:c r="Q99" s="32" t="str">
        <x:f>IF(ISNUMBER(P99),IF(ISNUMBER(M99),P99*M99,""),"")</x:f>
      </x:c>
      <x:c r="R99" s="4" t="str">
        <x:v>사양·조달 보류</x:v>
      </x:c>
      <x:c r="S99" s="4"/>
      <x:c r="T99" s="4"/>
    </x:row>
    <x:row r="100" ht="58" customHeight="1">
      <x:c r="A100" s="4" t="str">
        <x:v>G08</x:v>
      </x:c>
      <x:c r="B100" s="4" t="str">
        <x:v>기구·장착</x:v>
      </x:c>
      <x:c r="C100" s="4" t="str">
        <x:v>기본</x:v>
      </x:c>
      <x:c r="D100" s="4" t="str">
        <x:v>전륜 자유회전 캐스터</x:v>
      </x:c>
      <x:c r="E100" s="22" t="n">
        <x:v>2</x:v>
      </x:c>
      <x:c r="F100" s="22" t="n">
        <x:v>0</x:v>
      </x:c>
      <x:c r="G100" s="4" t="str">
        <x:v>개</x:v>
      </x:c>
      <x:c r="H100" s="22" t="n">
        <x:v>1</x:v>
      </x:c>
      <x:c r="I100" s="22" t="n">
        <x:v>0</x:v>
      </x:c>
      <x:c r="J100" s="22" t="n">
        <x:v>0</x:v>
      </x:c>
      <x:c r="K100" s="30" t="n">
        <x:f>1</x:f>
        <x:v>1</x:v>
      </x:c>
      <x:c r="L100" s="30" t="n">
        <x:f>IF(K100=0,0,IF(ISNUMBER(E100),MAX(0,(E100+F100*'안내·설정'!$D$12)*IF(C100="공구",1,'안내·설정'!$D$6)-I100-J100),""))</x:f>
        <x:v>2</x:v>
      </x:c>
      <x:c r="M100" s="30" t="n">
        <x:f>IF(ISNUMBER(L100),IF(H100&gt;0,ROUNDUP(L100/H100,0),""),"")</x:f>
        <x:v>2</x:v>
      </x:c>
      <x:c r="N100" s="30" t="n">
        <x:f>IF(ISNUMBER(M100),M100*H100,"")</x:f>
        <x:v>2</x:v>
      </x:c>
      <x:c r="O100" s="30" t="n">
        <x:f>IF(K100=0,0,IF(ISNUMBER(E100),I100+J100+N100-E100*IF(C100="공구",1,'안내·설정'!$D$6),""))</x:f>
        <x:v>0</x:v>
      </x:c>
      <x:c r="P100" s="26"/>
      <x:c r="Q100" s="32" t="str">
        <x:f>IF(ISNUMBER(P100),IF(ISNUMBER(M100),P100*M100,""),"")</x:f>
      </x:c>
      <x:c r="R100" s="4" t="str">
        <x:v>사양·조달 보류</x:v>
      </x:c>
      <x:c r="S100" s="4"/>
      <x:c r="T100" s="4"/>
    </x:row>
    <x:row r="101" ht="58" customHeight="1">
      <x:c r="A101" s="4" t="str">
        <x:v>G09</x:v>
      </x:c>
      <x:c r="B101" s="4" t="str">
        <x:v>기구·장착</x:v>
      </x:c>
      <x:c r="C101" s="4" t="str">
        <x:v>기본</x:v>
      </x:c>
      <x:c r="D101" s="4" t="str">
        <x:v>모터 출력 허브·커플링</x:v>
      </x:c>
      <x:c r="E101" s="22" t="n">
        <x:v>2</x:v>
      </x:c>
      <x:c r="F101" s="22" t="n">
        <x:v>0</x:v>
      </x:c>
      <x:c r="G101" s="4" t="str">
        <x:v>세트</x:v>
      </x:c>
      <x:c r="H101" s="22" t="n">
        <x:v>1</x:v>
      </x:c>
      <x:c r="I101" s="22" t="n">
        <x:v>0</x:v>
      </x:c>
      <x:c r="J101" s="22" t="n">
        <x:v>0</x:v>
      </x:c>
      <x:c r="K101" s="30" t="n">
        <x:f>1</x:f>
        <x:v>1</x:v>
      </x:c>
      <x:c r="L101" s="30" t="n">
        <x:f>IF(K101=0,0,IF(ISNUMBER(E101),MAX(0,(E101+F101*'안내·설정'!$D$12)*IF(C101="공구",1,'안내·설정'!$D$6)-I101-J101),""))</x:f>
        <x:v>2</x:v>
      </x:c>
      <x:c r="M101" s="30" t="n">
        <x:f>IF(ISNUMBER(L101),IF(H101&gt;0,ROUNDUP(L101/H101,0),""),"")</x:f>
        <x:v>2</x:v>
      </x:c>
      <x:c r="N101" s="30" t="n">
        <x:f>IF(ISNUMBER(M101),M101*H101,"")</x:f>
        <x:v>2</x:v>
      </x:c>
      <x:c r="O101" s="30" t="n">
        <x:f>IF(K101=0,0,IF(ISNUMBER(E101),I101+J101+N101-E101*IF(C101="공구",1,'안내·설정'!$D$6),""))</x:f>
        <x:v>0</x:v>
      </x:c>
      <x:c r="P101" s="26"/>
      <x:c r="Q101" s="32" t="str">
        <x:f>IF(ISNUMBER(P101),IF(ISNUMBER(M101),P101*M101,""),"")</x:f>
      </x:c>
      <x:c r="R101" s="4" t="str">
        <x:v>사양·조달 보류</x:v>
      </x:c>
      <x:c r="S101" s="4"/>
      <x:c r="T101" s="4"/>
    </x:row>
    <x:row r="102" ht="58" customHeight="1">
      <x:c r="A102" s="4" t="str">
        <x:v>G10</x:v>
      </x:c>
      <x:c r="B102" s="4" t="str">
        <x:v>기구·장착</x:v>
      </x:c>
      <x:c r="C102" s="4" t="str">
        <x:v>기본</x:v>
      </x:c>
      <x:c r="D102" s="4" t="str">
        <x:v>모터 장착 브래킷</x:v>
      </x:c>
      <x:c r="E102" s="22" t="n">
        <x:v>2</x:v>
      </x:c>
      <x:c r="F102" s="22" t="n">
        <x:v>0</x:v>
      </x:c>
      <x:c r="G102" s="4" t="str">
        <x:v>개</x:v>
      </x:c>
      <x:c r="H102" s="22" t="n">
        <x:v>1</x:v>
      </x:c>
      <x:c r="I102" s="22" t="n">
        <x:v>0</x:v>
      </x:c>
      <x:c r="J102" s="22" t="n">
        <x:v>0</x:v>
      </x:c>
      <x:c r="K102" s="30" t="n">
        <x:f>1</x:f>
        <x:v>1</x:v>
      </x:c>
      <x:c r="L102" s="30" t="n">
        <x:f>IF(K102=0,0,IF(ISNUMBER(E102),MAX(0,(E102+F102*'안내·설정'!$D$12)*IF(C102="공구",1,'안내·설정'!$D$6)-I102-J102),""))</x:f>
        <x:v>2</x:v>
      </x:c>
      <x:c r="M102" s="30" t="n">
        <x:f>IF(ISNUMBER(L102),IF(H102&gt;0,ROUNDUP(L102/H102,0),""),"")</x:f>
        <x:v>2</x:v>
      </x:c>
      <x:c r="N102" s="30" t="n">
        <x:f>IF(ISNUMBER(M102),M102*H102,"")</x:f>
        <x:v>2</x:v>
      </x:c>
      <x:c r="O102" s="30" t="n">
        <x:f>IF(K102=0,0,IF(ISNUMBER(E102),I102+J102+N102-E102*IF(C102="공구",1,'안내·설정'!$D$6),""))</x:f>
        <x:v>0</x:v>
      </x:c>
      <x:c r="P102" s="26"/>
      <x:c r="Q102" s="32" t="str">
        <x:f>IF(ISNUMBER(P102),IF(ISNUMBER(M102),P102*M102,""),"")</x:f>
      </x:c>
      <x:c r="R102" s="4" t="str">
        <x:v>사양·조달 보류</x:v>
      </x:c>
      <x:c r="S102" s="4"/>
      <x:c r="T102" s="4"/>
    </x:row>
    <x:row r="103" ht="58" customHeight="1">
      <x:c r="A103" s="4" t="str">
        <x:v>G11</x:v>
      </x:c>
      <x:c r="B103" s="4" t="str">
        <x:v>기구·장착</x:v>
      </x:c>
      <x:c r="C103" s="4" t="str">
        <x:v>기본</x:v>
      </x:c>
      <x:c r="D103" s="4" t="str">
        <x:v>구동 휠 펜더</x:v>
      </x:c>
      <x:c r="E103" s="22" t="n">
        <x:v>2</x:v>
      </x:c>
      <x:c r="F103" s="22" t="n">
        <x:v>0</x:v>
      </x:c>
      <x:c r="G103" s="4" t="str">
        <x:v>개</x:v>
      </x:c>
      <x:c r="H103" s="22" t="n">
        <x:v>1</x:v>
      </x:c>
      <x:c r="I103" s="22" t="n">
        <x:v>0</x:v>
      </x:c>
      <x:c r="J103" s="22" t="n">
        <x:v>0</x:v>
      </x:c>
      <x:c r="K103" s="30" t="n">
        <x:f>1</x:f>
        <x:v>1</x:v>
      </x:c>
      <x:c r="L103" s="30" t="n">
        <x:f>IF(K103=0,0,IF(ISNUMBER(E103),MAX(0,(E103+F103*'안내·설정'!$D$12)*IF(C103="공구",1,'안내·설정'!$D$6)-I103-J103),""))</x:f>
        <x:v>2</x:v>
      </x:c>
      <x:c r="M103" s="30" t="n">
        <x:f>IF(ISNUMBER(L103),IF(H103&gt;0,ROUNDUP(L103/H103,0),""),"")</x:f>
        <x:v>2</x:v>
      </x:c>
      <x:c r="N103" s="30" t="n">
        <x:f>IF(ISNUMBER(M103),M103*H103,"")</x:f>
        <x:v>2</x:v>
      </x:c>
      <x:c r="O103" s="30" t="n">
        <x:f>IF(K103=0,0,IF(ISNUMBER(E103),I103+J103+N103-E103*IF(C103="공구",1,'안내·설정'!$D$6),""))</x:f>
        <x:v>0</x:v>
      </x:c>
      <x:c r="P103" s="26"/>
      <x:c r="Q103" s="32" t="str">
        <x:f>IF(ISNUMBER(P103),IF(ISNUMBER(M103),P103*M103,""),"")</x:f>
      </x:c>
      <x:c r="R103" s="4" t="str">
        <x:v>사양·조달 보류</x:v>
      </x:c>
      <x:c r="S103" s="4"/>
      <x:c r="T103" s="4"/>
    </x:row>
    <x:row r="104" ht="58" customHeight="1">
      <x:c r="A104" s="4" t="str">
        <x:v>G12</x:v>
      </x:c>
      <x:c r="B104" s="4" t="str">
        <x:v>기구·장착</x:v>
      </x:c>
      <x:c r="C104" s="4" t="str">
        <x:v>기본</x:v>
      </x:c>
      <x:c r="D104" s="4" t="str">
        <x:v>배터리 보호 박스</x:v>
      </x:c>
      <x:c r="E104" s="22" t="n">
        <x:v>1</x:v>
      </x:c>
      <x:c r="F104" s="22" t="n">
        <x:v>0</x:v>
      </x:c>
      <x:c r="G104" s="4" t="str">
        <x:v>개</x:v>
      </x:c>
      <x:c r="H104" s="22" t="n">
        <x:v>1</x:v>
      </x:c>
      <x:c r="I104" s="22" t="n">
        <x:v>0</x:v>
      </x:c>
      <x:c r="J104" s="22" t="n">
        <x:v>0</x:v>
      </x:c>
      <x:c r="K104" s="30" t="n">
        <x:f>1</x:f>
        <x:v>1</x:v>
      </x:c>
      <x:c r="L104" s="30" t="n">
        <x:f>IF(K104=0,0,IF(ISNUMBER(E104),MAX(0,(E104+F104*'안내·설정'!$D$12)*IF(C104="공구",1,'안내·설정'!$D$6)-I104-J104),""))</x:f>
        <x:v>1</x:v>
      </x:c>
      <x:c r="M104" s="30" t="n">
        <x:f>IF(ISNUMBER(L104),IF(H104&gt;0,ROUNDUP(L104/H104,0),""),"")</x:f>
        <x:v>1</x:v>
      </x:c>
      <x:c r="N104" s="30" t="n">
        <x:f>IF(ISNUMBER(M104),M104*H104,"")</x:f>
        <x:v>1</x:v>
      </x:c>
      <x:c r="O104" s="30" t="n">
        <x:f>IF(K104=0,0,IF(ISNUMBER(E104),I104+J104+N104-E104*IF(C104="공구",1,'안내·설정'!$D$6),""))</x:f>
        <x:v>0</x:v>
      </x:c>
      <x:c r="P104" s="26"/>
      <x:c r="Q104" s="32" t="str">
        <x:f>IF(ISNUMBER(P104),IF(ISNUMBER(M104),P104*M104,""),"")</x:f>
      </x:c>
      <x:c r="R104" s="4" t="str">
        <x:v>사양·조달 보류</x:v>
      </x:c>
      <x:c r="S104" s="4"/>
      <x:c r="T104" s="4"/>
    </x:row>
    <x:row r="105" ht="58" customHeight="1">
      <x:c r="A105" s="4" t="str">
        <x:v>G13</x:v>
      </x:c>
      <x:c r="B105" s="4" t="str">
        <x:v>기구·장착</x:v>
      </x:c>
      <x:c r="C105" s="4" t="str">
        <x:v>기본</x:v>
      </x:c>
      <x:c r="D105" s="4" t="str">
        <x:v>배터리 박스 뚜껑</x:v>
      </x:c>
      <x:c r="E105" s="22" t="n">
        <x:v>1</x:v>
      </x:c>
      <x:c r="F105" s="22" t="n">
        <x:v>0</x:v>
      </x:c>
      <x:c r="G105" s="4" t="str">
        <x:v>개</x:v>
      </x:c>
      <x:c r="H105" s="22" t="n">
        <x:v>1</x:v>
      </x:c>
      <x:c r="I105" s="22" t="n">
        <x:v>0</x:v>
      </x:c>
      <x:c r="J105" s="22" t="n">
        <x:v>0</x:v>
      </x:c>
      <x:c r="K105" s="30" t="n">
        <x:f>1</x:f>
        <x:v>1</x:v>
      </x:c>
      <x:c r="L105" s="30" t="n">
        <x:f>IF(K105=0,0,IF(ISNUMBER(E105),MAX(0,(E105+F105*'안내·설정'!$D$12)*IF(C105="공구",1,'안내·설정'!$D$6)-I105-J105),""))</x:f>
        <x:v>1</x:v>
      </x:c>
      <x:c r="M105" s="30" t="n">
        <x:f>IF(ISNUMBER(L105),IF(H105&gt;0,ROUNDUP(L105/H105,0),""),"")</x:f>
        <x:v>1</x:v>
      </x:c>
      <x:c r="N105" s="30" t="n">
        <x:f>IF(ISNUMBER(M105),M105*H105,"")</x:f>
        <x:v>1</x:v>
      </x:c>
      <x:c r="O105" s="30" t="n">
        <x:f>IF(K105=0,0,IF(ISNUMBER(E105),I105+J105+N105-E105*IF(C105="공구",1,'안내·설정'!$D$6),""))</x:f>
        <x:v>0</x:v>
      </x:c>
      <x:c r="P105" s="26"/>
      <x:c r="Q105" s="32" t="str">
        <x:f>IF(ISNUMBER(P105),IF(ISNUMBER(M105),P105*M105,""),"")</x:f>
      </x:c>
      <x:c r="R105" s="4" t="str">
        <x:v>사양·조달 보류</x:v>
      </x:c>
      <x:c r="S105" s="4"/>
      <x:c r="T105" s="4"/>
    </x:row>
    <x:row r="106" ht="58" customHeight="1">
      <x:c r="A106" s="4" t="str">
        <x:v>G14</x:v>
      </x:c>
      <x:c r="B106" s="4" t="str">
        <x:v>기구·장착</x:v>
      </x:c>
      <x:c r="C106" s="4" t="str">
        <x:v>기본</x:v>
      </x:c>
      <x:c r="D106" s="4" t="str">
        <x:v>배터리 고정 스트랩</x:v>
      </x:c>
      <x:c r="E106" s="22" t="n">
        <x:v>2</x:v>
      </x:c>
      <x:c r="F106" s="22" t="n">
        <x:v>0</x:v>
      </x:c>
      <x:c r="G106" s="4" t="str">
        <x:v>개</x:v>
      </x:c>
      <x:c r="H106" s="22" t="n">
        <x:v>1</x:v>
      </x:c>
      <x:c r="I106" s="22" t="n">
        <x:v>0</x:v>
      </x:c>
      <x:c r="J106" s="22" t="n">
        <x:v>0</x:v>
      </x:c>
      <x:c r="K106" s="30" t="n">
        <x:f>1</x:f>
        <x:v>1</x:v>
      </x:c>
      <x:c r="L106" s="30" t="n">
        <x:f>IF(K106=0,0,IF(ISNUMBER(E106),MAX(0,(E106+F106*'안내·설정'!$D$12)*IF(C106="공구",1,'안내·설정'!$D$6)-I106-J106),""))</x:f>
        <x:v>2</x:v>
      </x:c>
      <x:c r="M106" s="30" t="n">
        <x:f>IF(ISNUMBER(L106),IF(H106&gt;0,ROUNDUP(L106/H106,0),""),"")</x:f>
        <x:v>2</x:v>
      </x:c>
      <x:c r="N106" s="30" t="n">
        <x:f>IF(ISNUMBER(M106),M106*H106,"")</x:f>
        <x:v>2</x:v>
      </x:c>
      <x:c r="O106" s="30" t="n">
        <x:f>IF(K106=0,0,IF(ISNUMBER(E106),I106+J106+N106-E106*IF(C106="공구",1,'안내·설정'!$D$6),""))</x:f>
        <x:v>0</x:v>
      </x:c>
      <x:c r="P106" s="26"/>
      <x:c r="Q106" s="32" t="str">
        <x:f>IF(ISNUMBER(P106),IF(ISNUMBER(M106),P106*M106,""),"")</x:f>
      </x:c>
      <x:c r="R106" s="4" t="str">
        <x:v>사양·조달 보류</x:v>
      </x:c>
      <x:c r="S106" s="4"/>
      <x:c r="T106" s="4"/>
    </x:row>
    <x:row r="107" ht="58" customHeight="1">
      <x:c r="A107" s="4" t="str">
        <x:v>G15</x:v>
      </x:c>
      <x:c r="B107" s="4" t="str">
        <x:v>기구·장착</x:v>
      </x:c>
      <x:c r="C107" s="4" t="str">
        <x:v>기본</x:v>
      </x:c>
      <x:c r="D107" s="4" t="str">
        <x:v>전장 트레이/함체</x:v>
      </x:c>
      <x:c r="E107" s="22" t="n">
        <x:v>1</x:v>
      </x:c>
      <x:c r="F107" s="22" t="n">
        <x:v>0</x:v>
      </x:c>
      <x:c r="G107" s="4" t="str">
        <x:v>개</x:v>
      </x:c>
      <x:c r="H107" s="22" t="n">
        <x:v>1</x:v>
      </x:c>
      <x:c r="I107" s="22" t="n">
        <x:v>0</x:v>
      </x:c>
      <x:c r="J107" s="22" t="n">
        <x:v>0</x:v>
      </x:c>
      <x:c r="K107" s="30" t="n">
        <x:f>1</x:f>
        <x:v>1</x:v>
      </x:c>
      <x:c r="L107" s="30" t="n">
        <x:f>IF(K107=0,0,IF(ISNUMBER(E107),MAX(0,(E107+F107*'안내·설정'!$D$12)*IF(C107="공구",1,'안내·설정'!$D$6)-I107-J107),""))</x:f>
        <x:v>1</x:v>
      </x:c>
      <x:c r="M107" s="30" t="n">
        <x:f>IF(ISNUMBER(L107),IF(H107&gt;0,ROUNDUP(L107/H107,0),""),"")</x:f>
        <x:v>1</x:v>
      </x:c>
      <x:c r="N107" s="30" t="n">
        <x:f>IF(ISNUMBER(M107),M107*H107,"")</x:f>
        <x:v>1</x:v>
      </x:c>
      <x:c r="O107" s="30" t="n">
        <x:f>IF(K107=0,0,IF(ISNUMBER(E107),I107+J107+N107-E107*IF(C107="공구",1,'안내·설정'!$D$6),""))</x:f>
        <x:v>0</x:v>
      </x:c>
      <x:c r="P107" s="26"/>
      <x:c r="Q107" s="32" t="str">
        <x:f>IF(ISNUMBER(P107),IF(ISNUMBER(M107),P107*M107,""),"")</x:f>
      </x:c>
      <x:c r="R107" s="4" t="str">
        <x:v>사양·조달 보류</x:v>
      </x:c>
      <x:c r="S107" s="4"/>
      <x:c r="T107" s="4"/>
    </x:row>
    <x:row r="108" ht="58" customHeight="1">
      <x:c r="A108" s="4" t="str">
        <x:v>G16</x:v>
      </x:c>
      <x:c r="B108" s="4" t="str">
        <x:v>기구·장착</x:v>
      </x:c>
      <x:c r="C108" s="4" t="str">
        <x:v>기본</x:v>
      </x:c>
      <x:c r="D108" s="4" t="str">
        <x:v>전장 보호 커버</x:v>
      </x:c>
      <x:c r="E108" s="22" t="n">
        <x:v>1</x:v>
      </x:c>
      <x:c r="F108" s="22" t="n">
        <x:v>0</x:v>
      </x:c>
      <x:c r="G108" s="4" t="str">
        <x:v>개</x:v>
      </x:c>
      <x:c r="H108" s="22" t="n">
        <x:v>1</x:v>
      </x:c>
      <x:c r="I108" s="22" t="n">
        <x:v>0</x:v>
      </x:c>
      <x:c r="J108" s="22" t="n">
        <x:v>0</x:v>
      </x:c>
      <x:c r="K108" s="30" t="n">
        <x:f>1</x:f>
        <x:v>1</x:v>
      </x:c>
      <x:c r="L108" s="30" t="n">
        <x:f>IF(K108=0,0,IF(ISNUMBER(E108),MAX(0,(E108+F108*'안내·설정'!$D$12)*IF(C108="공구",1,'안내·설정'!$D$6)-I108-J108),""))</x:f>
        <x:v>1</x:v>
      </x:c>
      <x:c r="M108" s="30" t="n">
        <x:f>IF(ISNUMBER(L108),IF(H108&gt;0,ROUNDUP(L108/H108,0),""),"")</x:f>
        <x:v>1</x:v>
      </x:c>
      <x:c r="N108" s="30" t="n">
        <x:f>IF(ISNUMBER(M108),M108*H108,"")</x:f>
        <x:v>1</x:v>
      </x:c>
      <x:c r="O108" s="30" t="n">
        <x:f>IF(K108=0,0,IF(ISNUMBER(E108),I108+J108+N108-E108*IF(C108="공구",1,'안내·설정'!$D$6),""))</x:f>
        <x:v>0</x:v>
      </x:c>
      <x:c r="P108" s="26"/>
      <x:c r="Q108" s="32" t="str">
        <x:f>IF(ISNUMBER(P108),IF(ISNUMBER(M108),P108*M108,""),"")</x:f>
      </x:c>
      <x:c r="R108" s="4" t="str">
        <x:v>사양·조달 보류</x:v>
      </x:c>
      <x:c r="S108" s="4"/>
      <x:c r="T108" s="4"/>
    </x:row>
    <x:row r="109" ht="58" customHeight="1">
      <x:c r="A109" s="4" t="str">
        <x:v>G17</x:v>
      </x:c>
      <x:c r="B109" s="4" t="str">
        <x:v>기구·장착</x:v>
      </x:c>
      <x:c r="C109" s="4" t="str">
        <x:v>기본</x:v>
      </x:c>
      <x:c r="D109" s="4" t="str">
        <x:v>LiDAR 장착 브래킷</x:v>
      </x:c>
      <x:c r="E109" s="22" t="n">
        <x:v>1</x:v>
      </x:c>
      <x:c r="F109" s="22" t="n">
        <x:v>0</x:v>
      </x:c>
      <x:c r="G109" s="4" t="str">
        <x:v>개</x:v>
      </x:c>
      <x:c r="H109" s="22" t="n">
        <x:v>1</x:v>
      </x:c>
      <x:c r="I109" s="22" t="n">
        <x:v>0</x:v>
      </x:c>
      <x:c r="J109" s="22" t="n">
        <x:v>0</x:v>
      </x:c>
      <x:c r="K109" s="30" t="n">
        <x:f>1</x:f>
        <x:v>1</x:v>
      </x:c>
      <x:c r="L109" s="30" t="n">
        <x:f>IF(K109=0,0,IF(ISNUMBER(E109),MAX(0,(E109+F109*'안내·설정'!$D$12)*IF(C109="공구",1,'안내·설정'!$D$6)-I109-J109),""))</x:f>
        <x:v>1</x:v>
      </x:c>
      <x:c r="M109" s="30" t="n">
        <x:f>IF(ISNUMBER(L109),IF(H109&gt;0,ROUNDUP(L109/H109,0),""),"")</x:f>
        <x:v>1</x:v>
      </x:c>
      <x:c r="N109" s="30" t="n">
        <x:f>IF(ISNUMBER(M109),M109*H109,"")</x:f>
        <x:v>1</x:v>
      </x:c>
      <x:c r="O109" s="30" t="n">
        <x:f>IF(K109=0,0,IF(ISNUMBER(E109),I109+J109+N109-E109*IF(C109="공구",1,'안내·설정'!$D$6),""))</x:f>
        <x:v>0</x:v>
      </x:c>
      <x:c r="P109" s="26"/>
      <x:c r="Q109" s="32" t="str">
        <x:f>IF(ISNUMBER(P109),IF(ISNUMBER(M109),P109*M109,""),"")</x:f>
      </x:c>
      <x:c r="R109" s="4" t="str">
        <x:v>사양·조달 보류</x:v>
      </x:c>
      <x:c r="S109" s="4"/>
      <x:c r="T109" s="4"/>
    </x:row>
    <x:row r="110" ht="58" customHeight="1">
      <x:c r="A110" s="4" t="str">
        <x:v>G18</x:v>
      </x:c>
      <x:c r="B110" s="4" t="str">
        <x:v>기구·장착</x:v>
      </x:c>
      <x:c r="C110" s="4" t="str">
        <x:v>기본</x:v>
      </x:c>
      <x:c r="D110" s="4" t="str">
        <x:v>UWB 보호 하우징</x:v>
      </x:c>
      <x:c r="E110" s="22" t="n">
        <x:v>2</x:v>
      </x:c>
      <x:c r="F110" s="22" t="n">
        <x:v>0</x:v>
      </x:c>
      <x:c r="G110" s="4" t="str">
        <x:v>개</x:v>
      </x:c>
      <x:c r="H110" s="22" t="n">
        <x:v>1</x:v>
      </x:c>
      <x:c r="I110" s="22" t="n">
        <x:v>0</x:v>
      </x:c>
      <x:c r="J110" s="22" t="n">
        <x:v>0</x:v>
      </x:c>
      <x:c r="K110" s="30" t="n">
        <x:f>1</x:f>
        <x:v>1</x:v>
      </x:c>
      <x:c r="L110" s="30" t="n">
        <x:f>IF(K110=0,0,IF(ISNUMBER(E110),MAX(0,(E110+F110*'안내·설정'!$D$12)*IF(C110="공구",1,'안내·설정'!$D$6)-I110-J110),""))</x:f>
        <x:v>2</x:v>
      </x:c>
      <x:c r="M110" s="30" t="n">
        <x:f>IF(ISNUMBER(L110),IF(H110&gt;0,ROUNDUP(L110/H110,0),""),"")</x:f>
        <x:v>2</x:v>
      </x:c>
      <x:c r="N110" s="30" t="n">
        <x:f>IF(ISNUMBER(M110),M110*H110,"")</x:f>
        <x:v>2</x:v>
      </x:c>
      <x:c r="O110" s="30" t="n">
        <x:f>IF(K110=0,0,IF(ISNUMBER(E110),I110+J110+N110-E110*IF(C110="공구",1,'안내·설정'!$D$6),""))</x:f>
        <x:v>0</x:v>
      </x:c>
      <x:c r="P110" s="26"/>
      <x:c r="Q110" s="32" t="str">
        <x:f>IF(ISNUMBER(P110),IF(ISNUMBER(M110),P110*M110,""),"")</x:f>
      </x:c>
      <x:c r="R110" s="4" t="str">
        <x:v>사양·조달 보류</x:v>
      </x:c>
      <x:c r="S110" s="4"/>
      <x:c r="T110" s="4"/>
    </x:row>
    <x:row r="111" ht="58" customHeight="1">
      <x:c r="A111" s="4" t="str">
        <x:v>G19</x:v>
      </x:c>
      <x:c r="B111" s="4" t="str">
        <x:v>기구·장착</x:v>
      </x:c>
      <x:c r="C111" s="4" t="str">
        <x:v>기본</x:v>
      </x:c>
      <x:c r="D111" s="4" t="str">
        <x:v>UWB 차체 장착 브래킷</x:v>
      </x:c>
      <x:c r="E111" s="22" t="n">
        <x:v>2</x:v>
      </x:c>
      <x:c r="F111" s="22" t="n">
        <x:v>0</x:v>
      </x:c>
      <x:c r="G111" s="4" t="str">
        <x:v>개</x:v>
      </x:c>
      <x:c r="H111" s="22" t="n">
        <x:v>1</x:v>
      </x:c>
      <x:c r="I111" s="22" t="n">
        <x:v>0</x:v>
      </x:c>
      <x:c r="J111" s="22" t="n">
        <x:v>0</x:v>
      </x:c>
      <x:c r="K111" s="30" t="n">
        <x:f>1</x:f>
        <x:v>1</x:v>
      </x:c>
      <x:c r="L111" s="30" t="n">
        <x:f>IF(K111=0,0,IF(ISNUMBER(E111),MAX(0,(E111+F111*'안내·설정'!$D$12)*IF(C111="공구",1,'안내·설정'!$D$6)-I111-J111),""))</x:f>
        <x:v>2</x:v>
      </x:c>
      <x:c r="M111" s="30" t="n">
        <x:f>IF(ISNUMBER(L111),IF(H111&gt;0,ROUNDUP(L111/H111,0),""),"")</x:f>
        <x:v>2</x:v>
      </x:c>
      <x:c r="N111" s="30" t="n">
        <x:f>IF(ISNUMBER(M111),M111*H111,"")</x:f>
        <x:v>2</x:v>
      </x:c>
      <x:c r="O111" s="30" t="n">
        <x:f>IF(K111=0,0,IF(ISNUMBER(E111),I111+J111+N111-E111*IF(C111="공구",1,'안내·설정'!$D$6),""))</x:f>
        <x:v>0</x:v>
      </x:c>
      <x:c r="P111" s="26"/>
      <x:c r="Q111" s="32" t="str">
        <x:f>IF(ISNUMBER(P111),IF(ISNUMBER(M111),P111*M111,""),"")</x:f>
      </x:c>
      <x:c r="R111" s="4" t="str">
        <x:v>사양·조달 보류</x:v>
      </x:c>
      <x:c r="S111" s="4"/>
      <x:c r="T111" s="4"/>
    </x:row>
    <x:row r="112" ht="58" customHeight="1">
      <x:c r="A112" s="4" t="str">
        <x:v>G20</x:v>
      </x:c>
      <x:c r="B112" s="4" t="str">
        <x:v>기구·장착</x:v>
      </x:c>
      <x:c r="C112" s="4" t="str">
        <x:v>기본</x:v>
      </x:c>
      <x:c r="D112" s="4" t="str">
        <x:v>ToF 보호 하우징·마운트</x:v>
      </x:c>
      <x:c r="E112" s="22" t="n">
        <x:v>2</x:v>
      </x:c>
      <x:c r="F112" s="22" t="n">
        <x:v>0</x:v>
      </x:c>
      <x:c r="G112" s="4" t="str">
        <x:v>세트</x:v>
      </x:c>
      <x:c r="H112" s="22" t="n">
        <x:v>1</x:v>
      </x:c>
      <x:c r="I112" s="22" t="n">
        <x:v>0</x:v>
      </x:c>
      <x:c r="J112" s="22" t="n">
        <x:v>0</x:v>
      </x:c>
      <x:c r="K112" s="30" t="n">
        <x:f>1</x:f>
        <x:v>1</x:v>
      </x:c>
      <x:c r="L112" s="30" t="n">
        <x:f>IF(K112=0,0,IF(ISNUMBER(E112),MAX(0,(E112+F112*'안내·설정'!$D$12)*IF(C112="공구",1,'안내·설정'!$D$6)-I112-J112),""))</x:f>
        <x:v>2</x:v>
      </x:c>
      <x:c r="M112" s="30" t="n">
        <x:f>IF(ISNUMBER(L112),IF(H112&gt;0,ROUNDUP(L112/H112,0),""),"")</x:f>
        <x:v>2</x:v>
      </x:c>
      <x:c r="N112" s="30" t="n">
        <x:f>IF(ISNUMBER(M112),M112*H112,"")</x:f>
        <x:v>2</x:v>
      </x:c>
      <x:c r="O112" s="30" t="n">
        <x:f>IF(K112=0,0,IF(ISNUMBER(E112),I112+J112+N112-E112*IF(C112="공구",1,'안내·설정'!$D$6),""))</x:f>
        <x:v>0</x:v>
      </x:c>
      <x:c r="P112" s="26"/>
      <x:c r="Q112" s="32" t="str">
        <x:f>IF(ISNUMBER(P112),IF(ISNUMBER(M112),P112*M112,""),"")</x:f>
      </x:c>
      <x:c r="R112" s="4" t="str">
        <x:v>사양·조달 보류</x:v>
      </x:c>
      <x:c r="S112" s="4"/>
      <x:c r="T112" s="4"/>
    </x:row>
    <x:row r="113" ht="58" customHeight="1">
      <x:c r="A113" s="4" t="str">
        <x:v>G21</x:v>
      </x:c>
      <x:c r="B113" s="4" t="str">
        <x:v>기구·장착</x:v>
      </x:c>
      <x:c r="C113" s="4" t="str">
        <x:v>기본</x:v>
      </x:c>
      <x:c r="D113" s="4" t="str">
        <x:v>IMU 고정 브래킷</x:v>
      </x:c>
      <x:c r="E113" s="22" t="n">
        <x:v>1</x:v>
      </x:c>
      <x:c r="F113" s="22" t="n">
        <x:v>0</x:v>
      </x:c>
      <x:c r="G113" s="4" t="str">
        <x:v>개</x:v>
      </x:c>
      <x:c r="H113" s="22" t="n">
        <x:v>1</x:v>
      </x:c>
      <x:c r="I113" s="22" t="n">
        <x:v>0</x:v>
      </x:c>
      <x:c r="J113" s="22" t="n">
        <x:v>0</x:v>
      </x:c>
      <x:c r="K113" s="30" t="n">
        <x:f>1</x:f>
        <x:v>1</x:v>
      </x:c>
      <x:c r="L113" s="30" t="n">
        <x:f>IF(K113=0,0,IF(ISNUMBER(E113),MAX(0,(E113+F113*'안내·설정'!$D$12)*IF(C113="공구",1,'안내·설정'!$D$6)-I113-J113),""))</x:f>
        <x:v>1</x:v>
      </x:c>
      <x:c r="M113" s="30" t="n">
        <x:f>IF(ISNUMBER(L113),IF(H113&gt;0,ROUNDUP(L113/H113,0),""),"")</x:f>
        <x:v>1</x:v>
      </x:c>
      <x:c r="N113" s="30" t="n">
        <x:f>IF(ISNUMBER(M113),M113*H113,"")</x:f>
        <x:v>1</x:v>
      </x:c>
      <x:c r="O113" s="30" t="n">
        <x:f>IF(K113=0,0,IF(ISNUMBER(E113),I113+J113+N113-E113*IF(C113="공구",1,'안내·설정'!$D$6),""))</x:f>
        <x:v>0</x:v>
      </x:c>
      <x:c r="P113" s="26"/>
      <x:c r="Q113" s="32" t="str">
        <x:f>IF(ISNUMBER(P113),IF(ISNUMBER(M113),P113*M113,""),"")</x:f>
      </x:c>
      <x:c r="R113" s="4" t="str">
        <x:v>사양·조달 보류</x:v>
      </x:c>
      <x:c r="S113" s="4"/>
      <x:c r="T113" s="4"/>
    </x:row>
    <x:row r="114" ht="58" customHeight="1">
      <x:c r="A114" s="4" t="str">
        <x:v>G22</x:v>
      </x:c>
      <x:c r="B114" s="4" t="str">
        <x:v>기구·장착</x:v>
      </x:c>
      <x:c r="C114" s="4" t="str">
        <x:v>기본</x:v>
      </x:c>
      <x:c r="D114" s="4" t="str">
        <x:v>사용자 태그 케이스·스트랩</x:v>
      </x:c>
      <x:c r="E114" s="22" t="n">
        <x:v>1</x:v>
      </x:c>
      <x:c r="F114" s="22" t="n">
        <x:v>0</x:v>
      </x:c>
      <x:c r="G114" s="4" t="str">
        <x:v>세트</x:v>
      </x:c>
      <x:c r="H114" s="22" t="n">
        <x:v>1</x:v>
      </x:c>
      <x:c r="I114" s="22" t="n">
        <x:v>0</x:v>
      </x:c>
      <x:c r="J114" s="22" t="n">
        <x:v>0</x:v>
      </x:c>
      <x:c r="K114" s="30" t="n">
        <x:f>1</x:f>
        <x:v>1</x:v>
      </x:c>
      <x:c r="L114" s="30" t="n">
        <x:f>IF(K114=0,0,IF(ISNUMBER(E114),MAX(0,(E114+F114*'안내·설정'!$D$12)*IF(C114="공구",1,'안내·설정'!$D$6)-I114-J114),""))</x:f>
        <x:v>1</x:v>
      </x:c>
      <x:c r="M114" s="30" t="n">
        <x:f>IF(ISNUMBER(L114),IF(H114&gt;0,ROUNDUP(L114/H114,0),""),"")</x:f>
        <x:v>1</x:v>
      </x:c>
      <x:c r="N114" s="30" t="n">
        <x:f>IF(ISNUMBER(M114),M114*H114,"")</x:f>
        <x:v>1</x:v>
      </x:c>
      <x:c r="O114" s="30" t="n">
        <x:f>IF(K114=0,0,IF(ISNUMBER(E114),I114+J114+N114-E114*IF(C114="공구",1,'안내·설정'!$D$6),""))</x:f>
        <x:v>0</x:v>
      </x:c>
      <x:c r="P114" s="26"/>
      <x:c r="Q114" s="32" t="str">
        <x:f>IF(ISNUMBER(P114),IF(ISNUMBER(M114),P114*M114,""),"")</x:f>
      </x:c>
      <x:c r="R114" s="4" t="str">
        <x:v>사양·조달 보류</x:v>
      </x:c>
      <x:c r="S114" s="4"/>
      <x:c r="T114" s="4"/>
    </x:row>
    <x:row r="115" ht="58" customHeight="1">
      <x:c r="A115" s="4" t="str">
        <x:v>G23</x:v>
      </x:c>
      <x:c r="B115" s="4" t="str">
        <x:v>기구·장착</x:v>
      </x:c>
      <x:c r="C115" s="4" t="str">
        <x:v>기본</x:v>
      </x:c>
      <x:c r="D115" s="4" t="str">
        <x:v>비상정지·재무장 조작함</x:v>
      </x:c>
      <x:c r="E115" s="22" t="n">
        <x:v>1</x:v>
      </x:c>
      <x:c r="F115" s="22" t="n">
        <x:v>0</x:v>
      </x:c>
      <x:c r="G115" s="4" t="str">
        <x:v>개</x:v>
      </x:c>
      <x:c r="H115" s="22" t="n">
        <x:v>1</x:v>
      </x:c>
      <x:c r="I115" s="22" t="n">
        <x:v>0</x:v>
      </x:c>
      <x:c r="J115" s="22" t="n">
        <x:v>0</x:v>
      </x:c>
      <x:c r="K115" s="30" t="n">
        <x:f>1</x:f>
        <x:v>1</x:v>
      </x:c>
      <x:c r="L115" s="30" t="n">
        <x:f>IF(K115=0,0,IF(ISNUMBER(E115),MAX(0,(E115+F115*'안내·설정'!$D$12)*IF(C115="공구",1,'안내·설정'!$D$6)-I115-J115),""))</x:f>
        <x:v>1</x:v>
      </x:c>
      <x:c r="M115" s="30" t="n">
        <x:f>IF(ISNUMBER(L115),IF(H115&gt;0,ROUNDUP(L115/H115,0),""),"")</x:f>
        <x:v>1</x:v>
      </x:c>
      <x:c r="N115" s="30" t="n">
        <x:f>IF(ISNUMBER(M115),M115*H115,"")</x:f>
        <x:v>1</x:v>
      </x:c>
      <x:c r="O115" s="30" t="n">
        <x:f>IF(K115=0,0,IF(ISNUMBER(E115),I115+J115+N115-E115*IF(C115="공구",1,'안내·설정'!$D$6),""))</x:f>
        <x:v>0</x:v>
      </x:c>
      <x:c r="P115" s="26"/>
      <x:c r="Q115" s="32" t="str">
        <x:f>IF(ISNUMBER(P115),IF(ISNUMBER(M115),P115*M115,""),"")</x:f>
      </x:c>
      <x:c r="R115" s="4" t="str">
        <x:v>사양·조달 보류</x:v>
      </x:c>
      <x:c r="S115" s="4"/>
      <x:c r="T115" s="4"/>
    </x:row>
    <x:row r="116" ht="58" customHeight="1">
      <x:c r="A116" s="4" t="str">
        <x:v>G24</x:v>
      </x:c>
      <x:c r="B116" s="4" t="str">
        <x:v>기구·장착</x:v>
      </x:c>
      <x:c r="C116" s="4" t="str">
        <x:v>기본</x:v>
      </x:c>
      <x:c r="D116" s="4" t="str">
        <x:v>전면 범퍼</x:v>
      </x:c>
      <x:c r="E116" s="22" t="n">
        <x:v>1</x:v>
      </x:c>
      <x:c r="F116" s="22" t="n">
        <x:v>0</x:v>
      </x:c>
      <x:c r="G116" s="4" t="str">
        <x:v>개</x:v>
      </x:c>
      <x:c r="H116" s="22" t="n">
        <x:v>1</x:v>
      </x:c>
      <x:c r="I116" s="22" t="n">
        <x:v>0</x:v>
      </x:c>
      <x:c r="J116" s="22" t="n">
        <x:v>0</x:v>
      </x:c>
      <x:c r="K116" s="30" t="n">
        <x:f>1</x:f>
        <x:v>1</x:v>
      </x:c>
      <x:c r="L116" s="30" t="n">
        <x:f>IF(K116=0,0,IF(ISNUMBER(E116),MAX(0,(E116+F116*'안내·설정'!$D$12)*IF(C116="공구",1,'안내·설정'!$D$6)-I116-J116),""))</x:f>
        <x:v>1</x:v>
      </x:c>
      <x:c r="M116" s="30" t="n">
        <x:f>IF(ISNUMBER(L116),IF(H116&gt;0,ROUNDUP(L116/H116,0),""),"")</x:f>
        <x:v>1</x:v>
      </x:c>
      <x:c r="N116" s="30" t="n">
        <x:f>IF(ISNUMBER(M116),M116*H116,"")</x:f>
        <x:v>1</x:v>
      </x:c>
      <x:c r="O116" s="30" t="n">
        <x:f>IF(K116=0,0,IF(ISNUMBER(E116),I116+J116+N116-E116*IF(C116="공구",1,'안내·설정'!$D$6),""))</x:f>
        <x:v>0</x:v>
      </x:c>
      <x:c r="P116" s="26"/>
      <x:c r="Q116" s="32" t="str">
        <x:f>IF(ISNUMBER(P116),IF(ISNUMBER(M116),P116*M116,""),"")</x:f>
      </x:c>
      <x:c r="R116" s="4" t="str">
        <x:v>사양·조달 보류</x:v>
      </x:c>
      <x:c r="S116" s="4"/>
      <x:c r="T116" s="4"/>
    </x:row>
    <x:row r="117" ht="58" customHeight="1">
      <x:c r="A117" s="4" t="str">
        <x:v>G25</x:v>
      </x:c>
      <x:c r="B117" s="4" t="str">
        <x:v>기구·장착</x:v>
      </x:c>
      <x:c r="C117" s="4" t="str">
        <x:v>기본</x:v>
      </x:c>
      <x:c r="D117" s="4" t="str">
        <x:v>볼트·너트·와셔·스페이서</x:v>
      </x:c>
      <x:c r="E117" s="22"/>
      <x:c r="F117" s="22" t="n">
        <x:v>0</x:v>
      </x:c>
      <x:c r="G117" s="4" t="str">
        <x:v>개</x:v>
      </x:c>
      <x:c r="H117" s="22" t="n">
        <x:v>1</x:v>
      </x:c>
      <x:c r="I117" s="22" t="n">
        <x:v>0</x:v>
      </x:c>
      <x:c r="J117" s="22" t="n">
        <x:v>0</x:v>
      </x:c>
      <x:c r="K117" s="30" t="n">
        <x:f>1</x:f>
        <x:v>1</x:v>
      </x:c>
      <x:c r="L117" s="30" t="str">
        <x:f>IF(K117=0,0,IF(ISNUMBER(E117),MAX(0,(E117+F117*'안내·설정'!$D$12)*IF(C117="공구",1,'안내·설정'!$D$6)-I117-J117),""))</x:f>
      </x:c>
      <x:c r="M117" s="30" t="str">
        <x:f>IF(ISNUMBER(L117),IF(H117&gt;0,ROUNDUP(L117/H117,0),""),"")</x:f>
      </x:c>
      <x:c r="N117" s="30" t="str">
        <x:f>IF(ISNUMBER(M117),M117*H117,"")</x:f>
      </x:c>
      <x:c r="O117" s="30" t="str">
        <x:f>IF(K117=0,0,IF(ISNUMBER(E117),I117+J117+N117-E117*IF(C117="공구",1,'안내·설정'!$D$6),""))</x:f>
      </x:c>
      <x:c r="P117" s="26"/>
      <x:c r="Q117" s="32" t="str">
        <x:f>IF(ISNUMBER(P117),IF(ISNUMBER(M117),P117*M117,""),"")</x:f>
      </x:c>
      <x:c r="R117" s="4" t="str">
        <x:v>사양·조달 보류</x:v>
      </x:c>
      <x:c r="S117" s="4"/>
      <x:c r="T117" s="4"/>
    </x:row>
    <x:row r="118" ht="58" customHeight="1">
      <x:c r="A118" s="4" t="str">
        <x:v>G26</x:v>
      </x:c>
      <x:c r="B118" s="4" t="str">
        <x:v>기구·장착</x:v>
      </x:c>
      <x:c r="C118" s="4" t="str">
        <x:v>기본</x:v>
      </x:c>
      <x:c r="D118" s="4" t="str">
        <x:v>프레임 코너·용접/절곡 재료</x:v>
      </x:c>
      <x:c r="E118" s="22"/>
      <x:c r="F118" s="22" t="n">
        <x:v>0</x:v>
      </x:c>
      <x:c r="G118" s="4" t="str">
        <x:v>식</x:v>
      </x:c>
      <x:c r="H118" s="22" t="n">
        <x:v>1</x:v>
      </x:c>
      <x:c r="I118" s="22" t="n">
        <x:v>0</x:v>
      </x:c>
      <x:c r="J118" s="22" t="n">
        <x:v>0</x:v>
      </x:c>
      <x:c r="K118" s="30" t="n">
        <x:f>1</x:f>
        <x:v>1</x:v>
      </x:c>
      <x:c r="L118" s="30" t="str">
        <x:f>IF(K118=0,0,IF(ISNUMBER(E118),MAX(0,(E118+F118*'안내·설정'!$D$12)*IF(C118="공구",1,'안내·설정'!$D$6)-I118-J118),""))</x:f>
      </x:c>
      <x:c r="M118" s="30" t="str">
        <x:f>IF(ISNUMBER(L118),IF(H118&gt;0,ROUNDUP(L118/H118,0),""),"")</x:f>
      </x:c>
      <x:c r="N118" s="30" t="str">
        <x:f>IF(ISNUMBER(M118),M118*H118,"")</x:f>
      </x:c>
      <x:c r="O118" s="30" t="str">
        <x:f>IF(K118=0,0,IF(ISNUMBER(E118),I118+J118+N118-E118*IF(C118="공구",1,'안내·설정'!$D$6),""))</x:f>
      </x:c>
      <x:c r="P118" s="26"/>
      <x:c r="Q118" s="32" t="str">
        <x:f>IF(ISNUMBER(P118),IF(ISNUMBER(M118),P118*M118,""),"")</x:f>
      </x:c>
      <x:c r="R118" s="4" t="str">
        <x:v>사양·조달 보류</x:v>
      </x:c>
      <x:c r="S118" s="4"/>
      <x:c r="T118" s="4"/>
    </x:row>
    <x:row r="119" ht="58" customHeight="1">
      <x:c r="A119" s="4" t="str">
        <x:v>T01</x:v>
      </x:c>
      <x:c r="B119" s="4" t="str">
        <x:v>공구·시험</x:v>
      </x:c>
      <x:c r="C119" s="4" t="str">
        <x:v>공구</x:v>
      </x:c>
      <x:c r="D119" s="4" t="str">
        <x:v>SD 카드 리더</x:v>
      </x:c>
      <x:c r="E119" s="22" t="n">
        <x:v>1</x:v>
      </x:c>
      <x:c r="F119" s="22" t="n">
        <x:v>0</x:v>
      </x:c>
      <x:c r="G119" s="4" t="str">
        <x:v>개</x:v>
      </x:c>
      <x:c r="H119" s="22" t="n">
        <x:v>1</x:v>
      </x:c>
      <x:c r="I119" s="22" t="n">
        <x:v>0</x:v>
      </x:c>
      <x:c r="J119" s="22" t="n">
        <x:v>0</x:v>
      </x:c>
      <x:c r="K119" s="30" t="n">
        <x:f>'안내·설정'!$D$9</x:f>
        <x:v>0</x:v>
      </x:c>
      <x:c r="L119" s="30" t="n">
        <x:f>IF(K119=0,0,IF(ISNUMBER(E119),MAX(0,(E119+F119*'안내·설정'!$D$12)*IF(C119="공구",1,'안내·설정'!$D$6)-I119-J119),""))</x:f>
        <x:v>0</x:v>
      </x:c>
      <x:c r="M119" s="30" t="n">
        <x:f>IF(ISNUMBER(L119),IF(H119&gt;0,ROUNDUP(L119/H119,0),""),"")</x:f>
        <x:v>0</x:v>
      </x:c>
      <x:c r="N119" s="30" t="n">
        <x:f>IF(ISNUMBER(M119),M119*H119,"")</x:f>
        <x:v>0</x:v>
      </x:c>
      <x:c r="O119" s="30" t="n">
        <x:f>IF(K119=0,0,IF(ISNUMBER(E119),I119+J119+N119-E119*IF(C119="공구",1,'안내·설정'!$D$6),""))</x:f>
        <x:v>0</x:v>
      </x:c>
      <x:c r="P119" s="26" t="n">
        <x:v>990</x:v>
      </x:c>
      <x:c r="Q119" s="32" t="n">
        <x:f>IF(ISNUMBER(P119),IF(ISNUMBER(M119),P119*M119,""),"")</x:f>
        <x:v>0</x:v>
      </x:c>
      <x:c r="R119" s="4" t="str">
        <x:v>국내출고 재확인</x:v>
      </x:c>
      <x:c r="S119" s="4" t="str">
        <x:v>P16</x:v>
      </x:c>
      <x:c r="T119" s="4" t="str">
        <x:v>https://eduino.kr/product/detail.html?product_no=9423</x:v>
      </x:c>
    </x:row>
    <x:row r="120" ht="58" customHeight="1">
      <x:c r="A120" s="4" t="str">
        <x:v>T02</x:v>
      </x:c>
      <x:c r="B120" s="4" t="str">
        <x:v>공구·시험</x:v>
      </x:c>
      <x:c r="C120" s="4" t="str">
        <x:v>공구</x:v>
      </x:c>
      <x:c r="D120" s="4" t="str">
        <x:v>전류 제한 DC 실험실 전원</x:v>
      </x:c>
      <x:c r="E120" s="22" t="n">
        <x:v>1</x:v>
      </x:c>
      <x:c r="F120" s="22" t="n">
        <x:v>0</x:v>
      </x:c>
      <x:c r="G120" s="4" t="str">
        <x:v>세트</x:v>
      </x:c>
      <x:c r="H120" s="22" t="n">
        <x:v>1</x:v>
      </x:c>
      <x:c r="I120" s="22" t="n">
        <x:v>0</x:v>
      </x:c>
      <x:c r="J120" s="22" t="n">
        <x:v>0</x:v>
      </x:c>
      <x:c r="K120" s="30" t="n">
        <x:f>'안내·설정'!$D$9</x:f>
        <x:v>0</x:v>
      </x:c>
      <x:c r="L120" s="30" t="n">
        <x:f>IF(K120=0,0,IF(ISNUMBER(E120),MAX(0,(E120+F120*'안내·설정'!$D$12)*IF(C120="공구",1,'안내·설정'!$D$6)-I120-J120),""))</x:f>
        <x:v>0</x:v>
      </x:c>
      <x:c r="M120" s="30" t="n">
        <x:f>IF(ISNUMBER(L120),IF(H120&gt;0,ROUNDUP(L120/H120,0),""),"")</x:f>
        <x:v>0</x:v>
      </x:c>
      <x:c r="N120" s="30" t="n">
        <x:f>IF(ISNUMBER(M120),M120*H120,"")</x:f>
        <x:v>0</x:v>
      </x:c>
      <x:c r="O120" s="30" t="n">
        <x:f>IF(K120=0,0,IF(ISNUMBER(E120),I120+J120+N120-E120*IF(C120="공구",1,'안내·설정'!$D$6),""))</x:f>
        <x:v>0</x:v>
      </x:c>
      <x:c r="P120" s="26"/>
      <x:c r="Q120" s="32" t="str">
        <x:f>IF(ISNUMBER(P120),IF(ISNUMBER(M120),P120*M120,""),"")</x:f>
      </x:c>
      <x:c r="R120" s="4" t="str">
        <x:v>사양·조달 보류</x:v>
      </x:c>
      <x:c r="S120" s="4"/>
      <x:c r="T120" s="4"/>
    </x:row>
    <x:row r="121" ht="58" customHeight="1">
      <x:c r="A121" s="4" t="str">
        <x:v>T03</x:v>
      </x:c>
      <x:c r="B121" s="4" t="str">
        <x:v>공구·시험</x:v>
      </x:c>
      <x:c r="C121" s="4" t="str">
        <x:v>공구</x:v>
      </x:c>
      <x:c r="D121" s="4" t="str">
        <x:v>디지털 멀티미터</x:v>
      </x:c>
      <x:c r="E121" s="22" t="n">
        <x:v>1</x:v>
      </x:c>
      <x:c r="F121" s="22" t="n">
        <x:v>0</x:v>
      </x:c>
      <x:c r="G121" s="4" t="str">
        <x:v>세트</x:v>
      </x:c>
      <x:c r="H121" s="22" t="n">
        <x:v>1</x:v>
      </x:c>
      <x:c r="I121" s="22" t="n">
        <x:v>0</x:v>
      </x:c>
      <x:c r="J121" s="22" t="n">
        <x:v>0</x:v>
      </x:c>
      <x:c r="K121" s="30" t="n">
        <x:f>'안내·설정'!$D$9</x:f>
        <x:v>0</x:v>
      </x:c>
      <x:c r="L121" s="30" t="n">
        <x:f>IF(K121=0,0,IF(ISNUMBER(E121),MAX(0,(E121+F121*'안내·설정'!$D$12)*IF(C121="공구",1,'안내·설정'!$D$6)-I121-J121),""))</x:f>
        <x:v>0</x:v>
      </x:c>
      <x:c r="M121" s="30" t="n">
        <x:f>IF(ISNUMBER(L121),IF(H121&gt;0,ROUNDUP(L121/H121,0),""),"")</x:f>
        <x:v>0</x:v>
      </x:c>
      <x:c r="N121" s="30" t="n">
        <x:f>IF(ISNUMBER(M121),M121*H121,"")</x:f>
        <x:v>0</x:v>
      </x:c>
      <x:c r="O121" s="30" t="n">
        <x:f>IF(K121=0,0,IF(ISNUMBER(E121),I121+J121+N121-E121*IF(C121="공구",1,'안내·설정'!$D$6),""))</x:f>
        <x:v>0</x:v>
      </x:c>
      <x:c r="P121" s="26"/>
      <x:c r="Q121" s="32" t="str">
        <x:f>IF(ISNUMBER(P121),IF(ISNUMBER(M121),P121*M121,""),"")</x:f>
      </x:c>
      <x:c r="R121" s="4" t="str">
        <x:v>사양·조달 보류</x:v>
      </x:c>
      <x:c r="S121" s="4"/>
      <x:c r="T121" s="4"/>
    </x:row>
    <x:row r="122" ht="58" customHeight="1">
      <x:c r="A122" s="4" t="str">
        <x:v>T04</x:v>
      </x:c>
      <x:c r="B122" s="4" t="str">
        <x:v>공구·시험</x:v>
      </x:c>
      <x:c r="C122" s="4" t="str">
        <x:v>공구</x:v>
      </x:c>
      <x:c r="D122" s="4" t="str">
        <x:v>DC 전류 클램프</x:v>
      </x:c>
      <x:c r="E122" s="22" t="n">
        <x:v>1</x:v>
      </x:c>
      <x:c r="F122" s="22" t="n">
        <x:v>0</x:v>
      </x:c>
      <x:c r="G122" s="4" t="str">
        <x:v>세트</x:v>
      </x:c>
      <x:c r="H122" s="22" t="n">
        <x:v>1</x:v>
      </x:c>
      <x:c r="I122" s="22" t="n">
        <x:v>0</x:v>
      </x:c>
      <x:c r="J122" s="22" t="n">
        <x:v>0</x:v>
      </x:c>
      <x:c r="K122" s="30" t="n">
        <x:f>'안내·설정'!$D$9</x:f>
        <x:v>0</x:v>
      </x:c>
      <x:c r="L122" s="30" t="n">
        <x:f>IF(K122=0,0,IF(ISNUMBER(E122),MAX(0,(E122+F122*'안내·설정'!$D$12)*IF(C122="공구",1,'안내·설정'!$D$6)-I122-J122),""))</x:f>
        <x:v>0</x:v>
      </x:c>
      <x:c r="M122" s="30" t="n">
        <x:f>IF(ISNUMBER(L122),IF(H122&gt;0,ROUNDUP(L122/H122,0),""),"")</x:f>
        <x:v>0</x:v>
      </x:c>
      <x:c r="N122" s="30" t="n">
        <x:f>IF(ISNUMBER(M122),M122*H122,"")</x:f>
        <x:v>0</x:v>
      </x:c>
      <x:c r="O122" s="30" t="n">
        <x:f>IF(K122=0,0,IF(ISNUMBER(E122),I122+J122+N122-E122*IF(C122="공구",1,'안내·설정'!$D$6),""))</x:f>
        <x:v>0</x:v>
      </x:c>
      <x:c r="P122" s="26"/>
      <x:c r="Q122" s="32" t="str">
        <x:f>IF(ISNUMBER(P122),IF(ISNUMBER(M122),P122*M122,""),"")</x:f>
      </x:c>
      <x:c r="R122" s="4" t="str">
        <x:v>사양·조달 보류</x:v>
      </x:c>
      <x:c r="S122" s="4"/>
      <x:c r="T122" s="4"/>
    </x:row>
    <x:row r="123" ht="58" customHeight="1">
      <x:c r="A123" s="4" t="str">
        <x:v>T05</x:v>
      </x:c>
      <x:c r="B123" s="4" t="str">
        <x:v>공구·시험</x:v>
      </x:c>
      <x:c r="C123" s="4" t="str">
        <x:v>공구</x:v>
      </x:c>
      <x:c r="D123" s="4" t="str">
        <x:v>압착 공구·스트리퍼</x:v>
      </x:c>
      <x:c r="E123" s="22" t="n">
        <x:v>1</x:v>
      </x:c>
      <x:c r="F123" s="22" t="n">
        <x:v>0</x:v>
      </x:c>
      <x:c r="G123" s="4" t="str">
        <x:v>세트</x:v>
      </x:c>
      <x:c r="H123" s="22" t="n">
        <x:v>1</x:v>
      </x:c>
      <x:c r="I123" s="22" t="n">
        <x:v>0</x:v>
      </x:c>
      <x:c r="J123" s="22" t="n">
        <x:v>0</x:v>
      </x:c>
      <x:c r="K123" s="30" t="n">
        <x:f>'안내·설정'!$D$9</x:f>
        <x:v>0</x:v>
      </x:c>
      <x:c r="L123" s="30" t="n">
        <x:f>IF(K123=0,0,IF(ISNUMBER(E123),MAX(0,(E123+F123*'안내·설정'!$D$12)*IF(C123="공구",1,'안내·설정'!$D$6)-I123-J123),""))</x:f>
        <x:v>0</x:v>
      </x:c>
      <x:c r="M123" s="30" t="n">
        <x:f>IF(ISNUMBER(L123),IF(H123&gt;0,ROUNDUP(L123/H123,0),""),"")</x:f>
        <x:v>0</x:v>
      </x:c>
      <x:c r="N123" s="30" t="n">
        <x:f>IF(ISNUMBER(M123),M123*H123,"")</x:f>
        <x:v>0</x:v>
      </x:c>
      <x:c r="O123" s="30" t="n">
        <x:f>IF(K123=0,0,IF(ISNUMBER(E123),I123+J123+N123-E123*IF(C123="공구",1,'안내·설정'!$D$6),""))</x:f>
        <x:v>0</x:v>
      </x:c>
      <x:c r="P123" s="26"/>
      <x:c r="Q123" s="32" t="str">
        <x:f>IF(ISNUMBER(P123),IF(ISNUMBER(M123),P123*M123,""),"")</x:f>
      </x:c>
      <x:c r="R123" s="4" t="str">
        <x:v>사양·조달 보류</x:v>
      </x:c>
      <x:c r="S123" s="4"/>
      <x:c r="T123" s="4"/>
    </x:row>
    <x:row r="124" ht="58" customHeight="1">
      <x:c r="A124" s="4" t="str">
        <x:v>T06</x:v>
      </x:c>
      <x:c r="B124" s="4" t="str">
        <x:v>공구·시험</x:v>
      </x:c>
      <x:c r="C124" s="4" t="str">
        <x:v>공구</x:v>
      </x:c>
      <x:c r="D124" s="4" t="str">
        <x:v>인두·납땜 안전 거치대</x:v>
      </x:c>
      <x:c r="E124" s="22" t="n">
        <x:v>1</x:v>
      </x:c>
      <x:c r="F124" s="22" t="n">
        <x:v>0</x:v>
      </x:c>
      <x:c r="G124" s="4" t="str">
        <x:v>세트</x:v>
      </x:c>
      <x:c r="H124" s="22" t="n">
        <x:v>1</x:v>
      </x:c>
      <x:c r="I124" s="22" t="n">
        <x:v>0</x:v>
      </x:c>
      <x:c r="J124" s="22" t="n">
        <x:v>0</x:v>
      </x:c>
      <x:c r="K124" s="30" t="n">
        <x:f>'안내·설정'!$D$9</x:f>
        <x:v>0</x:v>
      </x:c>
      <x:c r="L124" s="30" t="n">
        <x:f>IF(K124=0,0,IF(ISNUMBER(E124),MAX(0,(E124+F124*'안내·설정'!$D$12)*IF(C124="공구",1,'안내·설정'!$D$6)-I124-J124),""))</x:f>
        <x:v>0</x:v>
      </x:c>
      <x:c r="M124" s="30" t="n">
        <x:f>IF(ISNUMBER(L124),IF(H124&gt;0,ROUNDUP(L124/H124,0),""),"")</x:f>
        <x:v>0</x:v>
      </x:c>
      <x:c r="N124" s="30" t="n">
        <x:f>IF(ISNUMBER(M124),M124*H124,"")</x:f>
        <x:v>0</x:v>
      </x:c>
      <x:c r="O124" s="30" t="n">
        <x:f>IF(K124=0,0,IF(ISNUMBER(E124),I124+J124+N124-E124*IF(C124="공구",1,'안내·설정'!$D$6),""))</x:f>
        <x:v>0</x:v>
      </x:c>
      <x:c r="P124" s="26"/>
      <x:c r="Q124" s="32" t="str">
        <x:f>IF(ISNUMBER(P124),IF(ISNUMBER(M124),P124*M124,""),"")</x:f>
      </x:c>
      <x:c r="R124" s="4" t="str">
        <x:v>사양·조달 보류</x:v>
      </x:c>
      <x:c r="S124" s="4"/>
      <x:c r="T124" s="4"/>
    </x:row>
    <x:row r="125" ht="58" customHeight="1">
      <x:c r="A125" s="4" t="str">
        <x:v>T07</x:v>
      </x:c>
      <x:c r="B125" s="4" t="str">
        <x:v>공구·시험</x:v>
      </x:c>
      <x:c r="C125" s="4" t="str">
        <x:v>공구</x:v>
      </x:c>
      <x:c r="D125" s="4" t="str">
        <x:v>오실로스코프·차동 측정 구성</x:v>
      </x:c>
      <x:c r="E125" s="22" t="n">
        <x:v>1</x:v>
      </x:c>
      <x:c r="F125" s="22" t="n">
        <x:v>0</x:v>
      </x:c>
      <x:c r="G125" s="4" t="str">
        <x:v>세트</x:v>
      </x:c>
      <x:c r="H125" s="22" t="n">
        <x:v>1</x:v>
      </x:c>
      <x:c r="I125" s="22" t="n">
        <x:v>0</x:v>
      </x:c>
      <x:c r="J125" s="22" t="n">
        <x:v>0</x:v>
      </x:c>
      <x:c r="K125" s="30" t="n">
        <x:f>'안내·설정'!$D$9</x:f>
        <x:v>0</x:v>
      </x:c>
      <x:c r="L125" s="30" t="n">
        <x:f>IF(K125=0,0,IF(ISNUMBER(E125),MAX(0,(E125+F125*'안내·설정'!$D$12)*IF(C125="공구",1,'안내·설정'!$D$6)-I125-J125),""))</x:f>
        <x:v>0</x:v>
      </x:c>
      <x:c r="M125" s="30" t="n">
        <x:f>IF(ISNUMBER(L125),IF(H125&gt;0,ROUNDUP(L125/H125,0),""),"")</x:f>
        <x:v>0</x:v>
      </x:c>
      <x:c r="N125" s="30" t="n">
        <x:f>IF(ISNUMBER(M125),M125*H125,"")</x:f>
        <x:v>0</x:v>
      </x:c>
      <x:c r="O125" s="30" t="n">
        <x:f>IF(K125=0,0,IF(ISNUMBER(E125),I125+J125+N125-E125*IF(C125="공구",1,'안내·설정'!$D$6),""))</x:f>
        <x:v>0</x:v>
      </x:c>
      <x:c r="P125" s="26"/>
      <x:c r="Q125" s="32" t="str">
        <x:f>IF(ISNUMBER(P125),IF(ISNUMBER(M125),P125*M125,""),"")</x:f>
      </x:c>
      <x:c r="R125" s="4" t="str">
        <x:v>사양·조달 보류</x:v>
      </x:c>
      <x:c r="S125" s="4"/>
      <x:c r="T125" s="4"/>
    </x:row>
    <x:row r="126" ht="58" customHeight="1">
      <x:c r="A126" s="4" t="str">
        <x:v>T08</x:v>
      </x:c>
      <x:c r="B126" s="4" t="str">
        <x:v>공구·시험</x:v>
      </x:c>
      <x:c r="C126" s="4" t="str">
        <x:v>공구</x:v>
      </x:c>
      <x:c r="D126" s="4" t="str">
        <x:v>22AWG 벤치 배선 여분</x:v>
      </x:c>
      <x:c r="E126" s="22" t="n">
        <x:v>3</x:v>
      </x:c>
      <x:c r="F126" s="22" t="n">
        <x:v>0</x:v>
      </x:c>
      <x:c r="G126" s="4" t="str">
        <x:v>m</x:v>
      </x:c>
      <x:c r="H126" s="22" t="n">
        <x:v>1</x:v>
      </x:c>
      <x:c r="I126" s="22" t="n">
        <x:v>0</x:v>
      </x:c>
      <x:c r="J126" s="22" t="n">
        <x:v>0</x:v>
      </x:c>
      <x:c r="K126" s="30" t="n">
        <x:f>'안내·설정'!$D$9</x:f>
        <x:v>0</x:v>
      </x:c>
      <x:c r="L126" s="30" t="n">
        <x:f>IF(K126=0,0,IF(ISNUMBER(E126),MAX(0,(E126+F126*'안내·설정'!$D$12)*IF(C126="공구",1,'안내·설정'!$D$6)-I126-J126),""))</x:f>
        <x:v>0</x:v>
      </x:c>
      <x:c r="M126" s="30" t="n">
        <x:f>IF(ISNUMBER(L126),IF(H126&gt;0,ROUNDUP(L126/H126,0),""),"")</x:f>
        <x:v>0</x:v>
      </x:c>
      <x:c r="N126" s="30" t="n">
        <x:f>IF(ISNUMBER(M126),M126*H126,"")</x:f>
        <x:v>0</x:v>
      </x:c>
      <x:c r="O126" s="30" t="n">
        <x:f>IF(K126=0,0,IF(ISNUMBER(E126),I126+J126+N126-E126*IF(C126="공구",1,'안내·설정'!$D$6),""))</x:f>
        <x:v>0</x:v>
      </x:c>
      <x:c r="P126" s="26" t="n">
        <x:v>1100</x:v>
      </x:c>
      <x:c r="Q126" s="32" t="n">
        <x:f>IF(ISNUMBER(P126),IF(ISNUMBER(M126),P126*M126,""),"")</x:f>
        <x:v>0</x:v>
      </x:c>
      <x:c r="R126" s="4" t="str">
        <x:v>국내출고·옵션 확인</x:v>
      </x:c>
      <x:c r="S126" s="4" t="str">
        <x:v>P15</x:v>
      </x:c>
      <x:c r="T126" s="4" t="str">
        <x:v>https://eduino.kr/product/detail.html?product_no=257</x:v>
      </x:c>
    </x:row>
  </x:sheetData>
  <x:mergeCells>
    <x:mergeCell ref="A1:T2"/>
    <x:mergeCell ref="A3:T3"/>
  </x:mergeCells>
  <x:conditionalFormatting sqref="K6:K126">
    <x:cfRule type="expression" dxfId="1" priority="2">
      <x:formula>K6=0</x:formula>
    </x:cfRule>
  </x:conditionalFormatting>
  <x:conditionalFormatting sqref="O6:O126">
    <x:cfRule type="cellIs" dxfId="2" priority="3" operator="lessThan">
      <x:formula>0</x:formula>
    </x:cfRule>
  </x:conditionalFormatting>
  <x:conditionalFormatting sqref="E6:E126">
    <x:cfRule type="expression" dxfId="3" priority="4">
      <x:formula>NOT(ISNUMBER(E6))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f9cbc583ce41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38" hidden="0" customWidth="1"/>
    <x:col min="5" max="5" width="30" hidden="0" customWidth="1"/>
    <x:col min="6" max="6" width="54" hidden="0" customWidth="1"/>
    <x:col min="7" max="7" width="24" hidden="0" customWidth="1"/>
    <x:col min="8" max="8" width="45" hidden="0" customWidth="1"/>
  </x:cols>
  <x:sheetData>
    <x:row r="1" ht="22" customHeight="1">
      <x:c r="A1" s="9" t="str">
        <x:v>사양과 수량 근거</x:v>
      </x:c>
      <x:c r="B1" s="9"/>
      <x:c r="C1" s="9"/>
      <x:c r="D1" s="9"/>
      <x:c r="E1" s="9"/>
      <x:c r="F1" s="9"/>
      <x:c r="G1" s="9"/>
      <x:c r="H1" s="9"/>
    </x:row>
    <x:row r="2" ht="22" customHeight="1">
      <x:c r="A2" s="9"/>
      <x:c r="B2" s="9"/>
      <x:c r="C2" s="9"/>
      <x:c r="D2" s="9"/>
      <x:c r="E2" s="9"/>
      <x:c r="F2" s="9"/>
      <x:c r="G2" s="9"/>
      <x:c r="H2" s="9"/>
    </x:row>
    <x:row r="3" ht="32" customHeight="1">
      <x:c r="A3" s="12" t="str">
        <x:v>원본 수량·통합 변경·실측 필요를 구분합니다. 이 표는 발주 승인이나 안전 인증이 아닙니다.</x:v>
      </x:c>
      <x:c r="B3" s="12"/>
      <x:c r="C3" s="12"/>
      <x:c r="D3" s="12"/>
      <x:c r="E3" s="12"/>
      <x:c r="F3" s="12"/>
      <x:c r="G3" s="12"/>
      <x:c r="H3" s="12"/>
    </x:row>
    <x:row r="4">
      <x:c r="A4" s="4"/>
      <x:c r="B4" s="4"/>
      <x:c r="C4" s="4"/>
      <x:c r="D4" s="4"/>
      <x:c r="E4" s="4"/>
      <x:c r="F4" s="4"/>
      <x:c r="G4" s="4"/>
      <x:c r="H4" s="4"/>
    </x:row>
    <x:row r="5" ht="34" customHeight="1">
      <x:c r="A5" s="15" t="str">
        <x:v>ID</x:v>
      </x:c>
      <x:c r="B5" s="15" t="str">
        <x:v>원본 참조</x:v>
      </x:c>
      <x:c r="C5" s="15" t="str">
        <x:v>부품</x:v>
      </x:c>
      <x:c r="D5" s="15" t="str">
        <x:v>규격 / 지정 모델</x:v>
      </x:c>
      <x:c r="E5" s="15" t="str">
        <x:v>수량 근거</x:v>
      </x:c>
      <x:c r="F5" s="15" t="str">
        <x:v>동봉·호환·추가 확인</x:v>
      </x:c>
      <x:c r="G5" s="15" t="str">
        <x:v>발주 판정</x:v>
      </x:c>
      <x:c r="H5" s="15" t="str">
        <x:v>원본 URL</x:v>
      </x:c>
    </x:row>
    <x:row r="6" ht="76" customHeight="1">
      <x:c r="A6" s="4" t="str">
        <x:v>C01</x:v>
      </x:c>
      <x:c r="B6" s="4" t="str">
        <x:v>OP1</x:v>
      </x:c>
      <x:c r="C6" s="4" t="str">
        <x:v>Orange Pi 4 Pro</x:v>
      </x:c>
      <x:c r="D6" s="4" t="str">
        <x:v>5V Type-C 입력; RAM/OS 이미지 확정</x:v>
      </x:c>
      <x:c r="E6" s="4" t="str">
        <x:v>원본 수량</x:v>
      </x:c>
      <x:c r="F6" s="4" t="str">
        <x:v>정확한 모델의 국내 출고를 확인하지 못함. 4B·Pi 5로 임의 치환 금지.</x:v>
      </x:c>
      <x:c r="G6" s="4" t="str">
        <x:v>사양·조달 보류</x:v>
      </x:c>
      <x:c r="H6" s="4" t="str">
        <x:v>https://github.com/JTech-CO/Smart-Cart-Wiring/blob/3ac3f1d793caba6494d27df6f0b9ba2eee8606d5/data/BOM.csv</x:v>
      </x:c>
    </x:row>
    <x:row r="7" ht="76" customHeight="1">
      <x:c r="A7" s="4" t="str">
        <x:v>C02</x:v>
      </x:c>
      <x:c r="B7" s="4" t="str">
        <x:v>U1</x:v>
      </x:c>
      <x:c r="C7" s="4" t="str">
        <x:v>ESP32-DevKitC V4 WROOM-32E</x:v>
      </x:c>
      <x:c r="D7" s="4" t="str">
        <x:v>정품 38핀 V4; micro-B; USB 급전</x:v>
      </x:c>
      <x:c r="E7" s="4" t="str">
        <x:v>원본 수량</x:v>
      </x:c>
      <x:c r="F7" s="4" t="str">
        <x:v>예비 1개. 30핀 클론/WROVER와 핀맵 다름. 국내 재고 확인 전 보류.</x:v>
      </x:c>
      <x:c r="G7" s="4" t="str">
        <x:v>사양·조달 보류</x:v>
      </x:c>
      <x:c r="H7" s="4" t="str">
        <x:v>https://github.com/JTech-CO/Smart-Cart-Wiring/blob/3ac3f1d793caba6494d27df6f0b9ba2eee8606d5/data/BOM.csv</x:v>
      </x:c>
    </x:row>
    <x:row r="8" ht="76" customHeight="1">
      <x:c r="A8" s="4" t="str">
        <x:v>C03</x:v>
      </x:c>
      <x:c r="B8" s="4" t="str">
        <x:v>H1</x:v>
      </x:c>
      <x:c r="C8" s="4" t="str">
        <x:v>외부 전원 USB 허브</x:v>
      </x:c>
      <x:c r="D8" s="4" t="str">
        <x:v>독립 5V 입력; downstream 4포트 이상; upstream 역급전 차단</x:v>
      </x:c>
      <x:c r="E8" s="4" t="str">
        <x:v>원본 수량</x:v>
      </x:c>
      <x:c r="F8" s="4" t="str">
        <x:v>ESP32, C1, UWB L/R로 4포트 사용. 포트별 전류·기동 부하 확인.</x:v>
      </x:c>
      <x:c r="G8" s="4" t="str">
        <x:v>사양·조달 보류</x:v>
      </x:c>
      <x:c r="H8" s="4" t="str">
        <x:v>https://github.com/JTech-CO/Smart-Cart-Wiring/blob/3ac3f1d793caba6494d27df6f0b9ba2eee8606d5/data/BOM.csv</x:v>
      </x:c>
    </x:row>
    <x:row r="9" ht="76" customHeight="1">
      <x:c r="A9" s="4" t="str">
        <x:v>C04</x:v>
      </x:c>
      <x:c r="B9" s="4" t="str">
        <x:v>LD1</x:v>
      </x:c>
      <x:c r="C9" s="4" t="str">
        <x:v>RPLIDAR C1 센서</x:v>
      </x:c>
      <x:c r="D9" s="4" t="str">
        <x:v>SLAMTEC C1 정품</x:v>
      </x:c>
      <x:c r="E9" s="4" t="str">
        <x:v>원본 수량</x:v>
      </x:c>
      <x:c r="F9" s="4" t="str">
        <x:v>센서 1개. 어댑터·케이블 포함 키트면 C05/H04/H05에서 동봉 수량을 차감.</x:v>
      </x:c>
      <x:c r="G9" s="4" t="str">
        <x:v>국내출고·동봉 확인</x:v>
      </x:c>
      <x:c r="H9" s="4" t="str">
        <x:v>https://github.com/JTech-CO/Smart-Cart-Wiring/blob/3ac3f1d793caba6494d27df6f0b9ba2eee8606d5/data/BOM.csv</x:v>
      </x:c>
    </x:row>
    <x:row r="10" ht="76" customHeight="1">
      <x:c r="A10" s="4" t="str">
        <x:v>C05</x:v>
      </x:c>
      <x:c r="B10" s="4" t="str">
        <x:v>A1</x:v>
      </x:c>
      <x:c r="C10" s="4" t="str">
        <x:v>C1 전용 USB-UART 어댑터</x:v>
      </x:c>
      <x:c r="D10" s="4" t="str">
        <x:v>C1 통신 속도와 커넥터 대응 정품</x:v>
      </x:c>
      <x:c r="E10" s="4" t="str">
        <x:v>원본 수량</x:v>
      </x:c>
      <x:c r="F10" s="4" t="str">
        <x:v>C04 번들 포함 시 별도 구매 0. 일반 USB-TTL로 무검증 대체 금지.</x:v>
      </x:c>
      <x:c r="G10" s="4" t="str">
        <x:v>동봉·조달 보류</x:v>
      </x:c>
      <x:c r="H10" s="4" t="str">
        <x:v>https://github.com/JTech-CO/Smart-Cart-Wiring/blob/3ac3f1d793caba6494d27df6f0b9ba2eee8606d5/data/BOM.csv</x:v>
      </x:c>
    </x:row>
    <x:row r="11" ht="76" customHeight="1">
      <x:c r="A11" s="4" t="str">
        <x:v>C06</x:v>
      </x:c>
      <x:c r="B11" s="4" t="str">
        <x:v>UWL,UWR</x:v>
      </x:c>
      <x:c r="C11" s="4" t="str">
        <x:v>BU04-Kit 카트 베이스</x:v>
      </x:c>
      <x:c r="D11" s="4" t="str">
        <x:v>좌/우 각 1; 거리 데이터 USB Type-C</x:v>
      </x:c>
      <x:c r="E11" s="4" t="str">
        <x:v>원본 수량</x:v>
      </x:c>
      <x:c r="F11" s="4" t="str">
        <x:v>국내 재고 미확인. bare BU04·Follow Package와 동일 제품으로 간주하지 않음.</x:v>
      </x:c>
      <x:c r="G11" s="4" t="str">
        <x:v>사양·조달 보류</x:v>
      </x:c>
      <x:c r="H11" s="4" t="str">
        <x:v>https://github.com/JTech-CO/Smart-Cart-Wiring/blob/3ac3f1d793caba6494d27df6f0b9ba2eee8606d5/data/BOM.csv</x:v>
      </x:c>
    </x:row>
    <x:row r="12" ht="76" customHeight="1">
      <x:c r="A12" s="4" t="str">
        <x:v>C07</x:v>
      </x:c>
      <x:c r="B12" s="4" t="str">
        <x:v>TAG1</x:v>
      </x:c>
      <x:c r="C12" s="4" t="str">
        <x:v>호환 UWB 사용자 태그</x:v>
      </x:c>
      <x:c r="D12" s="4" t="str">
        <x:v>C06과 펌웨어/역할/ID 호환; 독립 급전</x:v>
      </x:c>
      <x:c r="E12" s="4" t="str">
        <x:v>원본 수량</x:v>
      </x:c>
      <x:c r="F12" s="4" t="str">
        <x:v>베이스 2 + 태그 1 = 무선 역할 3개. 태그 포함 세트를 샀다면 동봉 차감.</x:v>
      </x:c>
      <x:c r="G12" s="4" t="str">
        <x:v>사양·조달 보류</x:v>
      </x:c>
      <x:c r="H12" s="4" t="str">
        <x:v>https://github.com/JTech-CO/Smart-Cart-Wiring/blob/3ac3f1d793caba6494d27df6f0b9ba2eee8606d5/data/BOM.csv</x:v>
      </x:c>
    </x:row>
    <x:row r="13" ht="76" customHeight="1">
      <x:c r="A13" s="4" t="str">
        <x:v>C08</x:v>
      </x:c>
      <x:c r="B13" s="4" t="str">
        <x:v>IMU1</x:v>
      </x:c>
      <x:c r="C13" s="4" t="str">
        <x:v>BNO085 IMU 브레이크아웃</x:v>
      </x:c>
      <x:c r="D13" s="4" t="str">
        <x:v>Adafruit #4754; SPI; P0/P1 HIGH</x:v>
      </x:c>
      <x:c r="E13" s="4" t="str">
        <x:v>원본 수량</x:v>
      </x:c>
      <x:c r="F13" s="4" t="str">
        <x:v>같은 BNO085여도 다른 보드와 핀 배치/전압이 다름. 기본 예비 없음.</x:v>
      </x:c>
      <x:c r="G13" s="4" t="str">
        <x:v>국내재고 재확인</x:v>
      </x:c>
      <x:c r="H13" s="4" t="str">
        <x:v>https://github.com/JTech-CO/Smart-Cart-Wiring/blob/3ac3f1d793caba6494d27df6f0b9ba2eee8606d5/data/BOM.csv</x:v>
      </x:c>
    </x:row>
    <x:row r="14" ht="76" customHeight="1">
      <x:c r="A14" s="4" t="str">
        <x:v>C09</x:v>
      </x:c>
      <x:c r="B14" s="4" t="str">
        <x:v>TOF1</x:v>
      </x:c>
      <x:c r="C14" s="4" t="str">
        <x:v>VL53L1X ToF 브레이크아웃</x:v>
      </x:c>
      <x:c r="D14" s="4" t="str">
        <x:v>Pololu #3415; 하향 좌/우</x:v>
      </x:c>
      <x:c r="E14" s="4" t="str">
        <x:v>3D 2개 / Wiring 1개 → 통합 2개</x:v>
      </x:c>
      <x:c r="F14" s="4" t="str">
        <x:v>필요 2 + 예비 1 = 3. B1 회로는 1개만 지원; C10/C11 또는 XSHUT 설계 필요.</x:v>
      </x:c>
      <x:c r="G14" s="4" t="str">
        <x:v>회로보완 후 발주</x:v>
      </x:c>
      <x:c r="H14" s="4" t="str">
        <x:v>https://github.com/JTech-CO/Smart-Cart-Wiring/blob/3ac3f1d793caba6494d27df6f0b9ba2eee8606d5/data/BOM.csv</x:v>
      </x:c>
    </x:row>
    <x:row r="15" ht="76" customHeight="1">
      <x:c r="A15" s="4" t="str">
        <x:v>C10</x:v>
      </x:c>
      <x:c r="B15" s="4" t="str">
        <x:v>보완/기구</x:v>
      </x:c>
      <x:c r="C15" s="4" t="str">
        <x:v>I2C 멀티플렉서</x:v>
      </x:c>
      <x:c r="D15" s="4" t="str">
        <x:v>Adafruit PCA9548 #5626; 3.3V 센서 분리</x:v>
      </x:c>
      <x:c r="E15" s="4" t="str">
        <x:v>신규 보완 제안</x:v>
      </x:c>
      <x:c r="F15" s="4" t="str">
        <x:v>원본 부품 아님. 동일 주소 ToF 두 개를 채널 분리하는 제안. XSHUT 방식 선택 시 이 행과 C11 선택을 0으로 변경.</x:v>
      </x:c>
      <x:c r="G15" s="4" t="str">
        <x:v>설계변경 후 발주</x:v>
      </x:c>
      <x:c r="H15" s="4" t="str">
        <x:v>https://github.com/JTech-CO/Smart-Cart-Wiring/blob/3ac3f1d793caba6494d27df6f0b9ba2eee8606d5/docs/ASSEMBLY-KR.md</x:v>
      </x:c>
    </x:row>
    <x:row r="16" ht="76" customHeight="1">
      <x:c r="A16" s="4" t="str">
        <x:v>C11</x:v>
      </x:c>
      <x:c r="B16" s="4" t="str">
        <x:v>보완/기구</x:v>
      </x:c>
      <x:c r="C16" s="4" t="str">
        <x:v>JST-SH 1.0mm 4핀 분기 하네스</x:v>
      </x:c>
      <x:c r="D16" s="4" t="str">
        <x:v>PCA9548 하위 포트 → Pololu 헤더; 실제 핀 순서</x:v>
      </x:c>
      <x:c r="E16" s="4" t="str">
        <x:v>C10 신규 설계 2분기</x:v>
      </x:c>
      <x:c r="F16" s="4" t="str">
        <x:v>조립품/피그테일 + 적합 헤더로 2분기. 양끝 SH인 케이블만 사면 Pololu 헤더에 직접 연결 안 됨.</x:v>
      </x:c>
      <x:c r="G16" s="4" t="str">
        <x:v>사양·조달 보류</x:v>
      </x:c>
      <x:c r="H16" s="4" t="str">
        <x:v>https://github.com/JTech-CO/Smart-Cart-Wiring/blob/3ac3f1d793caba6494d27df6f0b9ba2eee8606d5/docs/ASSEMBLY-KR.md</x:v>
      </x:c>
    </x:row>
    <x:row r="17" ht="76" customHeight="1">
      <x:c r="A17" s="4" t="str">
        <x:v>C12</x:v>
      </x:c>
      <x:c r="B17" s="4" t="str">
        <x:v>보완/기구</x:v>
      </x:c>
      <x:c r="C17" s="4" t="str">
        <x:v>microSD 저장장치</x:v>
      </x:c>
      <x:c r="D17" s="4" t="str">
        <x:v>64GB 제안; Orange Pi 이미지와 부팅 호환</x:v>
      </x:c>
      <x:c r="E17" s="4" t="str">
        <x:v>운용 보완 제안</x:v>
      </x:c>
      <x:c r="F17" s="4" t="str">
        <x:v>용량은 제안값. 예비 OS 복제 카드 1. 정품 국내 재고/내구성 확인.</x:v>
      </x:c>
      <x:c r="G17" s="4" t="str">
        <x:v>사양·조달 보류</x:v>
      </x:c>
      <x:c r="H17" s="4" t="str">
        <x:v>https://github.com/JTech-CO/Smart-Cart-Wiring/blob/3ac3f1d793caba6494d27df6f0b9ba2eee8606d5/docs/ASSEMBLY-KR.md</x:v>
      </x:c>
    </x:row>
    <x:row r="18" ht="76" customHeight="1">
      <x:c r="A18" s="4" t="str">
        <x:v>C13</x:v>
      </x:c>
      <x:c r="B18" s="4" t="str">
        <x:v>보완/기구</x:v>
      </x:c>
      <x:c r="C18" s="4" t="str">
        <x:v>SBC 방열·냉각 세트</x:v>
      </x:c>
      <x:c r="D18" s="4" t="str">
        <x:v>Orange Pi 4 Pro 치수/팬 전압 일치</x:v>
      </x:c>
      <x:c r="E18" s="4" t="str">
        <x:v>3D 방열판 / 운용 보완</x:v>
      </x:c>
      <x:c r="F18" s="4" t="str">
        <x:v>팬·방열판·패드·체결물의 동봉 범위 확인. 유사 보드용 케이스 금지.</x:v>
      </x:c>
      <x:c r="G18" s="4" t="str">
        <x:v>사양·조달 보류</x:v>
      </x:c>
      <x:c r="H18" s="4" t="str">
        <x:v>https://github.com/JTech-CO/Smart-Cart-Wiring/blob/3ac3f1d793caba6494d27df6f0b9ba2eee8606d5/docs/ASSEMBLY-KR.md</x:v>
      </x:c>
    </x:row>
    <x:row r="19" ht="76" customHeight="1">
      <x:c r="A19" s="4" t="str">
        <x:v>C14</x:v>
      </x:c>
      <x:c r="B19" s="4" t="str">
        <x:v>보완/기구</x:v>
      </x:c>
      <x:c r="C19" s="4" t="str">
        <x:v>사용자 태그 독립 전원</x:v>
      </x:c>
      <x:c r="D19" s="4" t="str">
        <x:v>보호회로 포함; 태그 전압과 저부하 유지 대응</x:v>
      </x:c>
      <x:c r="E19" s="4" t="str">
        <x:v>TAG1 독립전원 요구</x:v>
      </x:c>
      <x:c r="F19" s="4" t="str">
        <x:v>태그 내장 배터리 포함 시 구매 차감. 전원 자동꺼짐 및 충전 방식 확인.</x:v>
      </x:c>
      <x:c r="G19" s="4" t="str">
        <x:v>사양·조달 보류</x:v>
      </x:c>
      <x:c r="H19" s="4" t="str">
        <x:v>https://github.com/JTech-CO/Smart-Cart-Wiring/blob/3ac3f1d793caba6494d27df6f0b9ba2eee8606d5/docs/ASSEMBLY-KR.md</x:v>
      </x:c>
    </x:row>
    <x:row r="20" ht="76" customHeight="1">
      <x:c r="A20" s="4" t="str">
        <x:v>E01</x:v>
      </x:c>
      <x:c r="B20" s="4" t="str">
        <x:v>BT1</x:v>
      </x:c>
      <x:c r="C20" s="4" t="str">
        <x:v>LiFePO4 배터리 팩</x:v>
      </x:c>
      <x:c r="D20" s="4" t="str">
        <x:v>24V class / 108Ah 목표; BMS 포함</x:v>
      </x:c>
      <x:c r="E20" s="4" t="str">
        <x:v>원본 수량</x:v>
      </x:c>
      <x:c r="F20" s="4" t="str">
        <x:v>실모델/셀 직렬 수/완충 전압/허용 전류 미확정. 25.2V 리튬이온 108Ah는 대체품 아님.</x:v>
      </x:c>
      <x:c r="G20" s="4" t="str">
        <x:v>사양·조달 보류</x:v>
      </x:c>
      <x:c r="H20" s="4" t="str">
        <x:v>https://github.com/JTech-CO/Smart-Cart-Wiring/blob/3ac3f1d793caba6494d27df6f0b9ba2eee8606d5/data/BOM.csv</x:v>
      </x:c>
    </x:row>
    <x:row r="21" ht="76" customHeight="1">
      <x:c r="A21" s="4" t="str">
        <x:v>E02</x:v>
      </x:c>
      <x:c r="B21" s="4" t="str">
        <x:v>보완/기구</x:v>
      </x:c>
      <x:c r="C21" s="4" t="str">
        <x:v>배터리 지정 충전기</x:v>
      </x:c>
      <x:c r="D21" s="4" t="str">
        <x:v>E01 제조사 승인 CC/CV 충전기</x:v>
      </x:c>
      <x:c r="E21" s="4" t="str">
        <x:v>누락 보완</x:v>
      </x:c>
      <x:c r="F21" s="4" t="str">
        <x:v>배터리와 세트 제공 시 차감. 전압·충전 전류·역극성 보호·AC 전원선 확인.</x:v>
      </x:c>
      <x:c r="G21" s="4" t="str">
        <x:v>사양·조달 보류</x:v>
      </x:c>
      <x:c r="H21" s="4" t="str">
        <x:v>https://github.com/JTech-CO/Smart-Cart-Wiring/blob/3ac3f1d793caba6494d27df6f0b9ba2eee8606d5/docs/ASSEMBLY-KR.md</x:v>
      </x:c>
    </x:row>
    <x:row r="22" ht="76" customHeight="1">
      <x:c r="A22" s="4" t="str">
        <x:v>E03</x:v>
      </x:c>
      <x:c r="B22" s="4" t="str">
        <x:v>S0</x:v>
      </x:c>
      <x:c r="C22" s="4" t="str">
        <x:v>메인 DC 차단 스위치</x:v>
      </x:c>
      <x:c r="D22" s="4" t="str">
        <x:v>완충 전압·연속전류·DC 부하 차단능력 검증</x:v>
      </x:c>
      <x:c r="E22" s="4" t="str">
        <x:v>원본 수량</x:v>
      </x:c>
      <x:c r="F22" s="4" t="str">
        <x:v>AC 정격을 DC 부하 차단 정격으로 대체하지 않음.</x:v>
      </x:c>
      <x:c r="G22" s="4" t="str">
        <x:v>사양·조달 보류</x:v>
      </x:c>
      <x:c r="H22" s="4" t="str">
        <x:v>https://github.com/JTech-CO/Smart-Cart-Wiring/blob/3ac3f1d793caba6494d27df6f0b9ba2eee8606d5/data/BOM.csv</x:v>
      </x:c>
    </x:row>
    <x:row r="23" ht="76" customHeight="1">
      <x:c r="A23" s="4" t="str">
        <x:v>E04</x:v>
      </x:c>
      <x:c r="B23" s="4" t="str">
        <x:v>X24</x:v>
      </x:c>
      <x:c r="C23" s="4" t="str">
        <x:v>절연 커버 양극 전원 버스</x:v>
      </x:c>
      <x:c r="D23" s="4" t="str">
        <x:v>최소 4회로; 주전류 정격 확보</x:v>
      </x:c>
      <x:c r="E23" s="4" t="str">
        <x:v>원본 수량</x:v>
      </x:c>
      <x:c r="F23" s="4" t="str">
        <x:v>배터리/접촉기/DC1/DC2. 커버와 접속 볼트 포함 여부 확인.</x:v>
      </x:c>
      <x:c r="G23" s="4" t="str">
        <x:v>사양·조달 보류</x:v>
      </x:c>
      <x:c r="H23" s="4" t="str">
        <x:v>https://github.com/JTech-CO/Smart-Cart-Wiring/blob/3ac3f1d793caba6494d27df6f0b9ba2eee8606d5/data/BOM.csv</x:v>
      </x:c>
    </x:row>
    <x:row r="24" ht="76" customHeight="1">
      <x:c r="A24" s="4" t="str">
        <x:v>E05</x:v>
      </x:c>
      <x:c r="B24" s="4" t="str">
        <x:v>X0</x:v>
      </x:c>
      <x:c r="C24" s="4" t="str">
        <x:v>절연 커버 공통 음극 버스</x:v>
      </x:c>
      <x:c r="D24" s="4" t="str">
        <x:v>B1 최소 12단자; 귀환 총전류 정격 확보</x:v>
      </x:c>
      <x:c r="E24" s="4" t="str">
        <x:v>원본 수량</x:v>
      </x:c>
      <x:c r="F24" s="4" t="str">
        <x:v>각 전력 귀환 분리. 여러 링 단자를 한 볼트에 무제한 적층하지 않음.</x:v>
      </x:c>
      <x:c r="G24" s="4" t="str">
        <x:v>사양·조달 보류</x:v>
      </x:c>
      <x:c r="H24" s="4" t="str">
        <x:v>https://github.com/JTech-CO/Smart-Cart-Wiring/blob/3ac3f1d793caba6494d27df6f0b9ba2eee8606d5/data/BOM.csv</x:v>
      </x:c>
    </x:row>
    <x:row r="25" ht="76" customHeight="1">
      <x:c r="A25" s="4" t="str">
        <x:v>E06</x:v>
      </x:c>
      <x:c r="B25" s="4" t="str">
        <x:v>K1</x:v>
      </x:c>
      <x:c r="C25" s="4" t="str">
        <x:v>DC 접촉기 + NO 보조접점</x:v>
      </x:c>
      <x:c r="D25" s="4" t="str">
        <x:v>12V 코일; 주접점 DC정격; 별도 NO 13-14</x:v>
      </x:c>
      <x:c r="E25" s="4" t="str">
        <x:v>원본 수량</x:v>
      </x:c>
      <x:c r="F25" s="4" t="str">
        <x:v>세트에 보조접점 미포함이면 별도 부품 필요. 12V 컨버터는 기본 구성에서도 코일을 공급.</x:v>
      </x:c>
      <x:c r="G25" s="4" t="str">
        <x:v>사양·조달 보류</x:v>
      </x:c>
      <x:c r="H25" s="4" t="str">
        <x:v>https://github.com/JTech-CO/Smart-Cart-Wiring/blob/3ac3f1d793caba6494d27df6f0b9ba2eee8606d5/data/BOM.csv</x:v>
      </x:c>
    </x:row>
    <x:row r="26" ht="76" customHeight="1">
      <x:c r="A26" s="4" t="str">
        <x:v>E07</x:v>
      </x:c>
      <x:c r="B26" s="4" t="str">
        <x:v>Z1</x:v>
      </x:c>
      <x:c r="C26" s="4" t="str">
        <x:v>접촉기 코일 서지 억제기</x:v>
      </x:c>
      <x:c r="D26" s="4" t="str">
        <x:v>E06 제조사 지정; 해제시간 검증</x:v>
      </x:c>
      <x:c r="E26" s="4" t="str">
        <x:v>원본 수량</x:v>
      </x:c>
      <x:c r="F26" s="4" t="str">
        <x:v>내장 억제기 포함이면 차감. 임의 플라이백 다이오드로 대체하지 않음.</x:v>
      </x:c>
      <x:c r="G26" s="4" t="str">
        <x:v>사양·조달 보류</x:v>
      </x:c>
      <x:c r="H26" s="4" t="str">
        <x:v>https://github.com/JTech-CO/Smart-Cart-Wiring/blob/3ac3f1d793caba6494d27df6f0b9ba2eee8606d5/data/BOM.csv</x:v>
      </x:c>
    </x:row>
    <x:row r="27" ht="76" customHeight="1">
      <x:c r="A27" s="4" t="str">
        <x:v>E08</x:v>
      </x:c>
      <x:c r="B27" s="4" t="str">
        <x:v>S1</x:v>
      </x:c>
      <x:c r="C27" s="4" t="str">
        <x:v>래칭 NC 비상정지 버튼</x:v>
      </x:c>
      <x:c r="D27" s="4" t="str">
        <x:v>회전 복귀; NC 접점; 설치 홀 확인</x:v>
      </x:c>
      <x:c r="E27" s="4" t="str">
        <x:v>원본 수량</x:v>
      </x:c>
      <x:c r="F27" s="4" t="str">
        <x:v>접점 블록 포함 확인. 이 단일 채널 회로는 안전인증 회로가 아님.</x:v>
      </x:c>
      <x:c r="G27" s="4" t="str">
        <x:v>사양·조달 보류</x:v>
      </x:c>
      <x:c r="H27" s="4" t="str">
        <x:v>https://github.com/JTech-CO/Smart-Cart-Wiring/blob/3ac3f1d793caba6494d27df6f0b9ba2eee8606d5/data/BOM.csv</x:v>
      </x:c>
    </x:row>
    <x:row r="28" ht="76" customHeight="1">
      <x:c r="A28" s="4" t="str">
        <x:v>E09</x:v>
      </x:c>
      <x:c r="B28" s="4" t="str">
        <x:v>S2</x:v>
      </x:c>
      <x:c r="C28" s="4" t="str">
        <x:v>순간 NO 수동 재무장 버튼</x:v>
      </x:c>
      <x:c r="D28" s="4" t="str">
        <x:v>모멘터리 NO; 설치 홀 확인</x:v>
      </x:c>
      <x:c r="E28" s="4" t="str">
        <x:v>원본 수량</x:v>
      </x:c>
      <x:c r="F28" s="4" t="str">
        <x:v>버튼 헤드만 판매하는 상품은 접점 블록 별도 계상.</x:v>
      </x:c>
      <x:c r="G28" s="4" t="str">
        <x:v>사양·조달 보류</x:v>
      </x:c>
      <x:c r="H28" s="4" t="str">
        <x:v>https://github.com/JTech-CO/Smart-Cart-Wiring/blob/3ac3f1d793caba6494d27df6f0b9ba2eee8606d5/data/BOM.csv</x:v>
      </x:c>
    </x:row>
    <x:row r="29" ht="76" customHeight="1">
      <x:c r="A29" s="4" t="str">
        <x:v>E10</x:v>
      </x:c>
      <x:c r="B29" s="4" t="str">
        <x:v>DC1</x:v>
      </x:c>
      <x:c r="C29" s="4" t="str">
        <x:v>24V class → 12V DC-DC</x:v>
      </x:c>
      <x:c r="D29" s="4" t="str">
        <x:v>12V 20A 목표; 입력 완충/과도전압 허용</x:v>
      </x:c>
      <x:c r="E29" s="4" t="str">
        <x:v>원본 수량</x:v>
      </x:c>
      <x:c r="F29" s="4" t="str">
        <x:v>서보 미사용도 K1 코일 때문에 12V 전원 필요. 용량 축소는 회로 변경 후에만.</x:v>
      </x:c>
      <x:c r="G29" s="4" t="str">
        <x:v>사양·조달 보류</x:v>
      </x:c>
      <x:c r="H29" s="4" t="str">
        <x:v>https://github.com/JTech-CO/Smart-Cart-Wiring/blob/3ac3f1d793caba6494d27df6f0b9ba2eee8606d5/data/BOM.csv</x:v>
      </x:c>
    </x:row>
    <x:row r="30" ht="76" customHeight="1">
      <x:c r="A30" s="4" t="str">
        <x:v>E11</x:v>
      </x:c>
      <x:c r="B30" s="4" t="str">
        <x:v>DC2</x:v>
      </x:c>
      <x:c r="C30" s="4" t="str">
        <x:v>24V class → 5V DC-DC</x:v>
      </x:c>
      <x:c r="D30" s="4" t="str">
        <x:v>5V 10A 목표; 연속출력·OVP·단락 보호</x:v>
      </x:c>
      <x:c r="E30" s="4" t="str">
        <x:v>원본 수량</x:v>
      </x:c>
      <x:c r="F30" s="4" t="str">
        <x:v>부하단 5V와 USB 기동 응답/전압강하 검증. 10A 문구만으로 선정하지 않음.</x:v>
      </x:c>
      <x:c r="G30" s="4" t="str">
        <x:v>사양·조달 보류</x:v>
      </x:c>
      <x:c r="H30" s="4" t="str">
        <x:v>https://github.com/JTech-CO/Smart-Cart-Wiring/blob/3ac3f1d793caba6494d27df6f0b9ba2eee8606d5/data/BOM.csv</x:v>
      </x:c>
    </x:row>
    <x:row r="31" ht="76" customHeight="1">
      <x:c r="A31" s="4" t="str">
        <x:v>E12</x:v>
      </x:c>
      <x:c r="B31" s="4" t="str">
        <x:v>보완/기구</x:v>
      </x:c>
      <x:c r="C31" s="4" t="str">
        <x:v>접촉기 후단 좌/우 분기 접속부</x:v>
      </x:c>
      <x:c r="D31" s="4" t="str">
        <x:v>K1 출력 → F1/F2의 3접속 이상</x:v>
      </x:c>
      <x:c r="E31" s="4" t="str">
        <x:v>전력 하네스 보완</x:v>
      </x:c>
      <x:c r="F31" s="4" t="str">
        <x:v>용량 맞는 분배단자/압착분기. K1 스터드 적층 가능 여부에 따라 통합 가능.</x:v>
      </x:c>
      <x:c r="G31" s="4" t="str">
        <x:v>사양·조달 보류</x:v>
      </x:c>
      <x:c r="H31" s="4" t="str">
        <x:v>https://github.com/JTech-CO/Smart-Cart-Wiring/blob/3ac3f1d793caba6494d27df6f0b9ba2eee8606d5/docs/ASSEMBLY-KR.md</x:v>
      </x:c>
    </x:row>
    <x:row r="32" ht="76" customHeight="1">
      <x:c r="A32" s="4" t="str">
        <x:v>E13</x:v>
      </x:c>
      <x:c r="B32" s="4" t="str">
        <x:v>보완/기구</x:v>
      </x:c>
      <x:c r="C32" s="4" t="str">
        <x:v>12V 출력 분배부</x:v>
      </x:c>
      <x:c r="D32" s="4" t="str">
        <x:v>DC1 → F9 및 옵션 F5/F6; 절연커버</x:v>
      </x:c>
      <x:c r="E32" s="4" t="str">
        <x:v>전력 하네스 보완</x:v>
      </x:c>
      <x:c r="F32" s="4" t="str">
        <x:v>다중 분기 배선 구현용. 컨버터 일체형 단자 수가 충분하면 동봉 차감.</x:v>
      </x:c>
      <x:c r="G32" s="4" t="str">
        <x:v>사양·조달 보류</x:v>
      </x:c>
      <x:c r="H32" s="4" t="str">
        <x:v>https://github.com/JTech-CO/Smart-Cart-Wiring/blob/3ac3f1d793caba6494d27df6f0b9ba2eee8606d5/docs/ASSEMBLY-KR.md</x:v>
      </x:c>
    </x:row>
    <x:row r="33" ht="76" customHeight="1">
      <x:c r="A33" s="4" t="str">
        <x:v>E14</x:v>
      </x:c>
      <x:c r="B33" s="4" t="str">
        <x:v>보완/기구</x:v>
      </x:c>
      <x:c r="C33" s="4" t="str">
        <x:v>5V 출력 분배부</x:v>
      </x:c>
      <x:c r="D33" s="4" t="str">
        <x:v>DC2 → F7/F8 및 옵션 F10; 전압강하 최소화</x:v>
      </x:c>
      <x:c r="E33" s="4" t="str">
        <x:v>전력 하네스 보완</x:v>
      </x:c>
      <x:c r="F33" s="4" t="str">
        <x:v>24V/12V/5V 양극 공통 버스 사용 금지.</x:v>
      </x:c>
      <x:c r="G33" s="4" t="str">
        <x:v>사양·조달 보류</x:v>
      </x:c>
      <x:c r="H33" s="4" t="str">
        <x:v>https://github.com/JTech-CO/Smart-Cart-Wiring/blob/3ac3f1d793caba6494d27df6f0b9ba2eee8606d5/docs/ASSEMBLY-KR.md</x:v>
      </x:c>
    </x:row>
    <x:row r="34" ht="76" customHeight="1">
      <x:c r="A34" s="4" t="str">
        <x:v>E15</x:v>
      </x:c>
      <x:c r="B34" s="4" t="str">
        <x:v>보완/기구</x:v>
      </x:c>
      <x:c r="C34" s="4" t="str">
        <x:v>충전 분기 보호장치</x:v>
      </x:c>
      <x:c r="D34" s="4" t="str">
        <x:v>충전기/BMS 제조사 설계에 따름</x:v>
      </x:c>
      <x:c r="E34" s="4" t="str">
        <x:v>충전 경로 미확정</x:v>
      </x:c>
      <x:c r="F34" s="4" t="str">
        <x:v>일체형 팩 내부 보호로 충족되는지 확인. 필요 여부·정격 미정으로 0개 처리하지 않음.</x:v>
      </x:c>
      <x:c r="G34" s="4" t="str">
        <x:v>사양·조달 보류</x:v>
      </x:c>
      <x:c r="H34" s="4" t="str">
        <x:v>https://github.com/JTech-CO/Smart-Cart-Wiring/blob/3ac3f1d793caba6494d27df6f0b9ba2eee8606d5/docs/ASSEMBLY-KR.md</x:v>
      </x:c>
    </x:row>
    <x:row r="35" ht="76" customHeight="1">
      <x:c r="A35" s="4" t="str">
        <x:v>F01</x:v>
      </x:c>
      <x:c r="B35" s="4" t="str">
        <x:v>F0</x:v>
      </x:c>
      <x:c r="C35" s="4" t="str">
        <x:v>메인 퓨즈</x:v>
      </x:c>
      <x:c r="D35" s="4" t="str">
        <x:v>60A * / 형식·차단용량 미확정</x:v>
      </x:c>
      <x:c r="E35" s="4" t="str">
        <x:v>원본 수량</x:v>
      </x:c>
      <x:c r="F35" s="4" t="str">
        <x:v>* 원본 검토값이며 발주 승인값 아님. 정격 확정 후 장착분과 동일 수량의 교체 예비 확보.</x:v>
      </x:c>
      <x:c r="G35" s="4" t="str">
        <x:v>사양·조달 보류</x:v>
      </x:c>
      <x:c r="H35" s="4" t="str">
        <x:v>https://github.com/JTech-CO/Smart-Cart-Wiring/blob/3ac3f1d793caba6494d27df6f0b9ba2eee8606d5/data/BOM.csv</x:v>
      </x:c>
    </x:row>
    <x:row r="36" ht="76" customHeight="1">
      <x:c r="A36" s="4" t="str">
        <x:v>F02</x:v>
      </x:c>
      <x:c r="B36" s="4" t="str">
        <x:v>F1,F2</x:v>
      </x:c>
      <x:c r="C36" s="4" t="str">
        <x:v>모터 입력 분기 퓨즈</x:v>
      </x:c>
      <x:c r="D36" s="4" t="str">
        <x:v>25A * / 좌우 각 1</x:v>
      </x:c>
      <x:c r="E36" s="4" t="str">
        <x:v>원본 수량</x:v>
      </x:c>
      <x:c r="F36" s="4" t="str">
        <x:v>* 원본 검토값이며 발주 승인값 아님. 정격 확정 후 장착분과 동일 수량의 교체 예비 확보.</x:v>
      </x:c>
      <x:c r="G36" s="4" t="str">
        <x:v>사양·조달 보류</x:v>
      </x:c>
      <x:c r="H36" s="4" t="str">
        <x:v>https://github.com/JTech-CO/Smart-Cart-Wiring/blob/3ac3f1d793caba6494d27df6f0b9ba2eee8606d5/data/BOM.csv</x:v>
      </x:c>
    </x:row>
    <x:row r="37" ht="76" customHeight="1">
      <x:c r="A37" s="4" t="str">
        <x:v>F03</x:v>
      </x:c>
      <x:c r="B37" s="4" t="str">
        <x:v>F3</x:v>
      </x:c>
      <x:c r="C37" s="4" t="str">
        <x:v>12V 컨버터 입력 퓨즈</x:v>
      </x:c>
      <x:c r="D37" s="4" t="str">
        <x:v>15A *</x:v>
      </x:c>
      <x:c r="E37" s="4" t="str">
        <x:v>원본 수량</x:v>
      </x:c>
      <x:c r="F37" s="4" t="str">
        <x:v>* 원본 검토값이며 발주 승인값 아님. 정격 확정 후 장착분과 동일 수량의 교체 예비 확보.</x:v>
      </x:c>
      <x:c r="G37" s="4" t="str">
        <x:v>사양·조달 보류</x:v>
      </x:c>
      <x:c r="H37" s="4" t="str">
        <x:v>https://github.com/JTech-CO/Smart-Cart-Wiring/blob/3ac3f1d793caba6494d27df6f0b9ba2eee8606d5/data/BOM.csv</x:v>
      </x:c>
    </x:row>
    <x:row r="38" ht="76" customHeight="1">
      <x:c r="A38" s="4" t="str">
        <x:v>F04</x:v>
      </x:c>
      <x:c r="B38" s="4" t="str">
        <x:v>F4</x:v>
      </x:c>
      <x:c r="C38" s="4" t="str">
        <x:v>5V 컨버터 입력 퓨즈</x:v>
      </x:c>
      <x:c r="D38" s="4" t="str">
        <x:v>5A *</x:v>
      </x:c>
      <x:c r="E38" s="4" t="str">
        <x:v>원본 수량</x:v>
      </x:c>
      <x:c r="F38" s="4" t="str">
        <x:v>* 원본 검토값이며 발주 승인값 아님. 정격 확정 후 장착분과 동일 수량의 교체 예비 확보.</x:v>
      </x:c>
      <x:c r="G38" s="4" t="str">
        <x:v>사양·조달 보류</x:v>
      </x:c>
      <x:c r="H38" s="4" t="str">
        <x:v>https://github.com/JTech-CO/Smart-Cart-Wiring/blob/3ac3f1d793caba6494d27df6f0b9ba2eee8606d5/data/BOM.csv</x:v>
      </x:c>
    </x:row>
    <x:row r="39" ht="76" customHeight="1">
      <x:c r="A39" s="4" t="str">
        <x:v>F05</x:v>
      </x:c>
      <x:c r="B39" s="4" t="str">
        <x:v>F5,F6</x:v>
      </x:c>
      <x:c r="C39" s="4" t="str">
        <x:v>12V 서보 출력 퓨즈</x:v>
      </x:c>
      <x:c r="D39" s="4" t="str">
        <x:v>10A * / 좌우 각 1</x:v>
      </x:c>
      <x:c r="E39" s="4" t="str">
        <x:v>원본 수량</x:v>
      </x:c>
      <x:c r="F39" s="4" t="str">
        <x:v>* 원본 검토값이며 발주 승인값 아님. 정격 확정 후 장착분과 동일 수량의 교체 예비 확보.</x:v>
      </x:c>
      <x:c r="G39" s="4" t="str">
        <x:v>사양·조달 보류</x:v>
      </x:c>
      <x:c r="H39" s="4" t="str">
        <x:v>https://github.com/JTech-CO/Smart-Cart-Wiring/blob/3ac3f1d793caba6494d27df6f0b9ba2eee8606d5/data/BOM.csv</x:v>
      </x:c>
    </x:row>
    <x:row r="40" ht="76" customHeight="1">
      <x:c r="A40" s="4" t="str">
        <x:v>F06</x:v>
      </x:c>
      <x:c r="B40" s="4" t="str">
        <x:v>F7,F8</x:v>
      </x:c>
      <x:c r="C40" s="4" t="str">
        <x:v>Orange Pi·허브 5V 분기 퓨즈</x:v>
      </x:c>
      <x:c r="D40" s="4" t="str">
        <x:v>4A * / 각 1</x:v>
      </x:c>
      <x:c r="E40" s="4" t="str">
        <x:v>원본 수량</x:v>
      </x:c>
      <x:c r="F40" s="4" t="str">
        <x:v>* 원본 검토값이며 발주 승인값 아님. 정격 확정 후 장착분과 동일 수량의 교체 예비 확보.</x:v>
      </x:c>
      <x:c r="G40" s="4" t="str">
        <x:v>사양·조달 보류</x:v>
      </x:c>
      <x:c r="H40" s="4" t="str">
        <x:v>https://github.com/JTech-CO/Smart-Cart-Wiring/blob/3ac3f1d793caba6494d27df6f0b9ba2eee8606d5/data/BOM.csv</x:v>
      </x:c>
    </x:row>
    <x:row r="41" ht="76" customHeight="1">
      <x:c r="A41" s="4" t="str">
        <x:v>F07</x:v>
      </x:c>
      <x:c r="B41" s="4" t="str">
        <x:v>F9</x:v>
      </x:c>
      <x:c r="C41" s="4" t="str">
        <x:v>접촉기 코일 퓨즈</x:v>
      </x:c>
      <x:c r="D41" s="4" t="str">
        <x:v>1A *</x:v>
      </x:c>
      <x:c r="E41" s="4" t="str">
        <x:v>원본 수량</x:v>
      </x:c>
      <x:c r="F41" s="4" t="str">
        <x:v>* 원본 검토값이며 발주 승인값 아님. 정격 확정 후 장착분과 동일 수량의 교체 예비 확보.</x:v>
      </x:c>
      <x:c r="G41" s="4" t="str">
        <x:v>사양·조달 보류</x:v>
      </x:c>
      <x:c r="H41" s="4" t="str">
        <x:v>https://github.com/JTech-CO/Smart-Cart-Wiring/blob/3ac3f1d793caba6494d27df6f0b9ba2eee8606d5/data/BOM.csv</x:v>
      </x:c>
    </x:row>
    <x:row r="42" ht="76" customHeight="1">
      <x:c r="A42" s="4" t="str">
        <x:v>F08</x:v>
      </x:c>
      <x:c r="B42" s="4" t="str">
        <x:v>F10</x:v>
      </x:c>
      <x:c r="C42" s="4" t="str">
        <x:v>버퍼 5V 분기 퓨즈</x:v>
      </x:c>
      <x:c r="D42" s="4" t="str">
        <x:v>0.5A *</x:v>
      </x:c>
      <x:c r="E42" s="4" t="str">
        <x:v>원본 수량</x:v>
      </x:c>
      <x:c r="F42" s="4" t="str">
        <x:v>* 원본 검토값이며 발주 승인값 아님. 정격 확정 후 장착분과 동일 수량의 교체 예비 확보.</x:v>
      </x:c>
      <x:c r="G42" s="4" t="str">
        <x:v>사양·조달 보류</x:v>
      </x:c>
      <x:c r="H42" s="4" t="str">
        <x:v>https://github.com/JTech-CO/Smart-Cart-Wiring/blob/3ac3f1d793caba6494d27df6f0b9ba2eee8606d5/data/BOM.csv</x:v>
      </x:c>
    </x:row>
    <x:row r="43" ht="76" customHeight="1">
      <x:c r="A43" s="4" t="str">
        <x:v>F09</x:v>
      </x:c>
      <x:c r="B43" s="4" t="str">
        <x:v>보완/기구</x:v>
      </x:c>
      <x:c r="C43" s="4" t="str">
        <x:v>메인 퓨즈 홀더 + 절연 커버</x:v>
      </x:c>
      <x:c r="D43" s="4" t="str">
        <x:v>F01과 동일 형식; DC 전류·차단 조건</x:v>
      </x:c>
      <x:c r="E43" s="4" t="str">
        <x:v>F0 장착 보완</x:v>
      </x:c>
      <x:c r="F43" s="4" t="str">
        <x:v>홀더 일체형으로 구매할 때 퓨즈 동봉 수를 별도 확인.</x:v>
      </x:c>
      <x:c r="G43" s="4" t="str">
        <x:v>사양·조달 보류</x:v>
      </x:c>
      <x:c r="H43" s="4" t="str">
        <x:v>https://github.com/JTech-CO/Smart-Cart-Wiring/blob/3ac3f1d793caba6494d27df6f0b9ba2eee8606d5/docs/ASSEMBLY-KR.md</x:v>
      </x:c>
    </x:row>
    <x:row r="44" ht="76" customHeight="1">
      <x:c r="A44" s="4" t="str">
        <x:v>F10</x:v>
      </x:c>
      <x:c r="B44" s="4" t="str">
        <x:v>보완/기구</x:v>
      </x:c>
      <x:c r="C44" s="4" t="str">
        <x:v>24V 입력 분기 퓨즈 홀더</x:v>
      </x:c>
      <x:c r="D44" s="4" t="str">
        <x:v>F1~F4: 모터 2 + 컨버터 2</x:v>
      </x:c>
      <x:c r="E44" s="4" t="str">
        <x:v>퓨즈 장착 수량 산출</x:v>
      </x:c>
      <x:c r="F44" s="4" t="str">
        <x:v>전선/단자 허용전류를 각각 검증. 4회로 공통양극 구조는 K1 전/후 회로를 우회할 수 있어 금지.</x:v>
      </x:c>
      <x:c r="G44" s="4" t="str">
        <x:v>사양·조달 보류</x:v>
      </x:c>
      <x:c r="H44" s="4" t="str">
        <x:v>https://github.com/JTech-CO/Smart-Cart-Wiring/blob/3ac3f1d793caba6494d27df6f0b9ba2eee8606d5/docs/ASSEMBLY-KR.md</x:v>
      </x:c>
    </x:row>
    <x:row r="45" ht="76" customHeight="1">
      <x:c r="A45" s="4" t="str">
        <x:v>F11</x:v>
      </x:c>
      <x:c r="B45" s="4" t="str">
        <x:v>보완/기구</x:v>
      </x:c>
      <x:c r="C45" s="4" t="str">
        <x:v>5V 출력 분기 퓨즈 홀더</x:v>
      </x:c>
      <x:c r="D45" s="4" t="str">
        <x:v>F7/F8: Pi·허브 각 1</x:v>
      </x:c>
      <x:c r="E45" s="4" t="str">
        <x:v>퓨즈 장착 수량 산출</x:v>
      </x:c>
      <x:c r="F45" s="4" t="str">
        <x:v>5V 전압강하를 고려한 접점/전선 선정.</x:v>
      </x:c>
      <x:c r="G45" s="4" t="str">
        <x:v>사양·조달 보류</x:v>
      </x:c>
      <x:c r="H45" s="4" t="str">
        <x:v>https://github.com/JTech-CO/Smart-Cart-Wiring/blob/3ac3f1d793caba6494d27df6f0b9ba2eee8606d5/docs/ASSEMBLY-KR.md</x:v>
      </x:c>
    </x:row>
    <x:row r="46" ht="76" customHeight="1">
      <x:c r="A46" s="4" t="str">
        <x:v>F12</x:v>
      </x:c>
      <x:c r="B46" s="4" t="str">
        <x:v>보완/기구</x:v>
      </x:c>
      <x:c r="C46" s="4" t="str">
        <x:v>12V 코일 퓨즈 홀더</x:v>
      </x:c>
      <x:c r="D46" s="4" t="str">
        <x:v>F9 1A 후보 대응</x:v>
      </x:c>
      <x:c r="E46" s="4" t="str">
        <x:v>퓨즈 장착 수량 산출</x:v>
      </x:c>
      <x:c r="F46" s="4" t="str"/>
      <x:c r="G46" s="4" t="str">
        <x:v>사양·조달 보류</x:v>
      </x:c>
      <x:c r="H46" s="4" t="str">
        <x:v>https://github.com/JTech-CO/Smart-Cart-Wiring/blob/3ac3f1d793caba6494d27df6f0b9ba2eee8606d5/docs/ASSEMBLY-KR.md</x:v>
      </x:c>
    </x:row>
    <x:row r="47" ht="76" customHeight="1">
      <x:c r="A47" s="4" t="str">
        <x:v>F13</x:v>
      </x:c>
      <x:c r="B47" s="4" t="str">
        <x:v>보완/기구</x:v>
      </x:c>
      <x:c r="C47" s="4" t="str">
        <x:v>서보 퓨즈 홀더</x:v>
      </x:c>
      <x:c r="D47" s="4" t="str">
        <x:v>F5/F6 10A 후보 대응</x:v>
      </x:c>
      <x:c r="E47" s="4" t="str">
        <x:v>퓨즈 장착 수량 산출</x:v>
      </x:c>
      <x:c r="F47" s="4" t="str"/>
      <x:c r="G47" s="4" t="str">
        <x:v>사양·조달 보류</x:v>
      </x:c>
      <x:c r="H47" s="4" t="str">
        <x:v>https://github.com/JTech-CO/Smart-Cart-Wiring/blob/3ac3f1d793caba6494d27df6f0b9ba2eee8606d5/docs/ASSEMBLY-KR.md</x:v>
      </x:c>
    </x:row>
    <x:row r="48" ht="76" customHeight="1">
      <x:c r="A48" s="4" t="str">
        <x:v>F14</x:v>
      </x:c>
      <x:c r="B48" s="4" t="str">
        <x:v>보완/기구</x:v>
      </x:c>
      <x:c r="C48" s="4" t="str">
        <x:v>5V 버퍼 퓨즈 홀더</x:v>
      </x:c>
      <x:c r="D48" s="4" t="str">
        <x:v>F10 0.5A 후보 대응</x:v>
      </x:c>
      <x:c r="E48" s="4" t="str">
        <x:v>퓨즈 장착 수량 산출</x:v>
      </x:c>
      <x:c r="F48" s="4" t="str"/>
      <x:c r="G48" s="4" t="str">
        <x:v>사양·조달 보류</x:v>
      </x:c>
      <x:c r="H48" s="4" t="str">
        <x:v>https://github.com/JTech-CO/Smart-Cart-Wiring/blob/3ac3f1d793caba6494d27df6f0b9ba2eee8606d5/docs/ASSEMBLY-KR.md</x:v>
      </x:c>
    </x:row>
    <x:row r="49" ht="76" customHeight="1">
      <x:c r="A49" s="4" t="str">
        <x:v>D01</x:v>
      </x:c>
      <x:c r="B49" s="4" t="str">
        <x:v>ML,MR</x:v>
      </x:c>
      <x:c r="C49" s="4" t="str">
        <x:v>브러시드 DC 감속모터</x:v>
      </x:c>
      <x:c r="D49" s="4" t="str">
        <x:v>24V 250W ×2; 감속비/RPM/축/스톨 확인</x:v>
      </x:c>
      <x:c r="E49" s="4" t="str">
        <x:v>원본 수량</x:v>
      </x:c>
      <x:c r="F49" s="4" t="str">
        <x:v>무감속 고속 모터와 혼동 금지. 좌우 기구/회전 방향 및 제동 방식 확정 필요.</x:v>
      </x:c>
      <x:c r="G49" s="4" t="str">
        <x:v>사양·조달 보류</x:v>
      </x:c>
      <x:c r="H49" s="4" t="str">
        <x:v>https://github.com/JTech-CO/Smart-Cart-Wiring/blob/3ac3f1d793caba6494d27df6f0b9ba2eee8606d5/data/BOM.csv</x:v>
      </x:c>
    </x:row>
    <x:row r="50" ht="76" customHeight="1">
      <x:c r="A50" s="4" t="str">
        <x:v>D02</x:v>
      </x:c>
      <x:c r="B50" s="4" t="str">
        <x:v>MDL,MDR</x:v>
      </x:c>
      <x:c r="C50" s="4" t="str">
        <x:v>모터 드라이버</x:v>
      </x:c>
      <x:c r="D50" s="4" t="str">
        <x:v>Pololu G2 SMC 24v19 #1367 조건부</x:v>
      </x:c>
      <x:c r="E50" s="4" t="str">
        <x:v>원본 수량</x:v>
      </x:c>
      <x:c r="F50" s="4" t="str">
        <x:v>국내 재고 미확인. 포함 단자대의 15~16A 안내와 분기25A 보호 불일치 검토. BTS7960 재사용 금지.</x:v>
      </x:c>
      <x:c r="G50" s="4" t="str">
        <x:v>사양·조달 보류</x:v>
      </x:c>
      <x:c r="H50" s="4" t="str">
        <x:v>https://github.com/JTech-CO/Smart-Cart-Wiring/blob/3ac3f1d793caba6494d27df6f0b9ba2eee8606d5/data/BOM.csv</x:v>
      </x:c>
    </x:row>
    <x:row r="51" ht="76" customHeight="1">
      <x:c r="A51" s="4" t="str">
        <x:v>D03</x:v>
      </x:c>
      <x:c r="B51" s="4" t="str">
        <x:v>SVL,SVR</x:v>
      </x:c>
      <x:c r="C51" s="4" t="str">
        <x:v>고토크 조향 서보</x:v>
      </x:c>
      <x:c r="D51" s="4" t="str">
        <x:v>RDS51150 12V형; PWM/핀/피드백 확인</x:v>
      </x:c>
      <x:c r="E51" s="4" t="str">
        <x:v>원본 수량</x:v>
      </x:c>
      <x:c r="F51" s="4" t="str">
        <x:v>기본 차동구동+자유 캐스터와 다른 옵션. 조향 링크·끝점 확정 전 발주 보류.</x:v>
      </x:c>
      <x:c r="G51" s="4" t="str">
        <x:v>사양·조달 보류</x:v>
      </x:c>
      <x:c r="H51" s="4" t="str">
        <x:v>https://github.com/JTech-CO/Smart-Cart-Wiring/blob/3ac3f1d793caba6494d27df6f0b9ba2eee8606d5/data/BOM.csv</x:v>
      </x:c>
    </x:row>
    <x:row r="52" ht="76" customHeight="1">
      <x:c r="A52" s="4" t="str">
        <x:v>D04</x:v>
      </x:c>
      <x:c r="B52" s="4" t="str">
        <x:v>보완/기구</x:v>
      </x:c>
      <x:c r="C52" s="4" t="str">
        <x:v>독립 제동·주차 유지 장치</x:v>
      </x:c>
      <x:c r="D52" s="4" t="str">
        <x:v>차량 하중·경사·정지거리 기반 선정</x:v>
      </x:c>
      <x:c r="E52" s="4" t="str">
        <x:v>안전 설계 미확정</x:v>
      </x:c>
      <x:c r="F52" s="4" t="str">
        <x:v>전원 차단만으로 정지 보장 안 됨. 방식과 장착 수 미정, 0개로 간주 금지.</x:v>
      </x:c>
      <x:c r="G52" s="4" t="str">
        <x:v>사양·조달 보류</x:v>
      </x:c>
      <x:c r="H52" s="4" t="str">
        <x:v>https://github.com/JTech-CO/Smart-Cart-Wiring/blob/3ac3f1d793caba6494d27df6f0b9ba2eee8606d5/docs/ASSEMBLY-KR.md</x:v>
      </x:c>
    </x:row>
    <x:row r="53" ht="76" customHeight="1">
      <x:c r="A53" s="4" t="str">
        <x:v>D05</x:v>
      </x:c>
      <x:c r="B53" s="4" t="str">
        <x:v>보완/기구</x:v>
      </x:c>
      <x:c r="C53" s="4" t="str">
        <x:v>휠/모터 엔코더</x:v>
      </x:c>
      <x:c r="D53" s="4" t="str">
        <x:v>드라이버/제어기/축 일치; 내장 여부 확인</x:v>
      </x:c>
      <x:c r="E53" s="4" t="str">
        <x:v>제어 보완 제안</x:v>
      </x:c>
      <x:c r="F53" s="4" t="str">
        <x:v>원본 실장 부품 아님. 폐루프 속도 제어 도입 시 검토; 모터 내장 엔코더 중복 구매 금지.</x:v>
      </x:c>
      <x:c r="G53" s="4" t="str">
        <x:v>사양·조달 보류</x:v>
      </x:c>
      <x:c r="H53" s="4" t="str">
        <x:v>https://github.com/JTech-CO/Smart-Cart-Wiring/blob/3ac3f1d793caba6494d27df6f0b9ba2eee8606d5/docs/ASSEMBLY-KR.md</x:v>
      </x:c>
    </x:row>
    <x:row r="54" ht="76" customHeight="1">
      <x:c r="A54" s="4" t="str">
        <x:v>D06</x:v>
      </x:c>
      <x:c r="B54" s="4" t="str">
        <x:v>보완/기구</x:v>
      </x:c>
      <x:c r="C54" s="4" t="str">
        <x:v>서보 혼·출력 체결부</x:v>
      </x:c>
      <x:c r="D54" s="4" t="str">
        <x:v>서보 스플라인/정격 토크 일치</x:v>
      </x:c>
      <x:c r="E54" s="4" t="str">
        <x:v>조향 기구 보완</x:v>
      </x:c>
      <x:c r="F54" s="4" t="str">
        <x:v>서보 기본 혼이 실제 조향 토크/축에 적합한지 확인.</x:v>
      </x:c>
      <x:c r="G54" s="4" t="str">
        <x:v>사양·조달 보류</x:v>
      </x:c>
      <x:c r="H54" s="4" t="str">
        <x:v>https://github.com/JTech-CO/Smart-Cart-Wiring/blob/3ac3f1d793caba6494d27df6f0b9ba2eee8606d5/docs/ASSEMBLY-KR.md</x:v>
      </x:c>
    </x:row>
    <x:row r="55" ht="76" customHeight="1">
      <x:c r="A55" s="4" t="str">
        <x:v>D07</x:v>
      </x:c>
      <x:c r="B55" s="4" t="str">
        <x:v>보완/기구</x:v>
      </x:c>
      <x:c r="C55" s="4" t="str">
        <x:v>좌우 조향 링크·로드엔드·너클</x:v>
      </x:c>
      <x:c r="D55" s="4" t="str">
        <x:v>기구 도면·최대각·구속조건 확정</x:v>
      </x:c>
      <x:c r="E55" s="4" t="str">
        <x:v>기구 설계 미확정</x:v>
      </x:c>
      <x:c r="F55" s="4" t="str">
        <x:v>로드엔드/타이로드 개수를 임의로 정하지 않음.</x:v>
      </x:c>
      <x:c r="G55" s="4" t="str">
        <x:v>사양·조달 보류</x:v>
      </x:c>
      <x:c r="H55" s="4" t="str">
        <x:v>https://github.com/JTech-CO/Smart-Cart-Wiring/blob/3ac3f1d793caba6494d27df6f0b9ba2eee8606d5/docs/ASSEMBLY-KR.md</x:v>
      </x:c>
    </x:row>
    <x:row r="56" ht="76" customHeight="1">
      <x:c r="A56" s="4" t="str">
        <x:v>B01</x:v>
      </x:c>
      <x:c r="B56" s="4" t="str">
        <x:v>BB1</x:v>
      </x:c>
      <x:c r="C56" s="4" t="str">
        <x:v>400접점 브레드보드</x:v>
      </x:c>
      <x:c r="D56" s="4" t="str">
        <x:v>300 본체 + 100 전원 레일</x:v>
      </x:c>
      <x:c r="E56" s="4" t="str">
        <x:v>원본 수량</x:v>
      </x:c>
      <x:c r="F56" s="4" t="str">
        <x:v>1개 실장+예비1. ESP32는 외부 배치. 원본 84접점은 부품 84개가 아님.</x:v>
      </x:c>
      <x:c r="G56" s="4" t="str">
        <x:v>국내출고 재확인</x:v>
      </x:c>
      <x:c r="H56" s="4" t="str">
        <x:v>https://github.com/JTech-CO/Smart-Cart-Wiring/blob/3ac3f1d793caba6494d27df6f0b9ba2eee8606d5/data/BOM.csv</x:v>
      </x:c>
    </x:row>
    <x:row r="57" ht="76" customHeight="1">
      <x:c r="A57" s="4" t="str">
        <x:v>B02</x:v>
      </x:c>
      <x:c r="B57" s="4" t="str">
        <x:v>R1,R2</x:v>
      </x:c>
      <x:c r="C57" s="4" t="str">
        <x:v>1kΩ 축형 저항</x:v>
      </x:c>
      <x:c r="D57" s="4" t="str">
        <x:v>0.25W / 5% / 리드형</x:v>
      </x:c>
      <x:c r="E57" s="4" t="str">
        <x:v>원본 수량</x:v>
      </x:c>
      <x:c r="F57" s="4" t="str">
        <x:v>10개 1봉 구매. UART TX 직렬 저항 2개; 나머지 8개 교체 예비.</x:v>
      </x:c>
      <x:c r="G57" s="4" t="str">
        <x:v>국내출고 재확인</x:v>
      </x:c>
      <x:c r="H57" s="4" t="str">
        <x:v>https://github.com/JTech-CO/Smart-Cart-Wiring/blob/3ac3f1d793caba6494d27df6f0b9ba2eee8606d5/data/BOM.csv</x:v>
      </x:c>
    </x:row>
    <x:row r="58" ht="76" customHeight="1">
      <x:c r="A58" s="4" t="str">
        <x:v>B03</x:v>
      </x:c>
      <x:c r="B58" s="4" t="str">
        <x:v>R3,R4</x:v>
      </x:c>
      <x:c r="C58" s="4" t="str">
        <x:v>220Ω 축형 저항</x:v>
      </x:c>
      <x:c r="D58" s="4" t="str">
        <x:v>0.25W / 5% / 리드형</x:v>
      </x:c>
      <x:c r="E58" s="4" t="str">
        <x:v>원본 수량</x:v>
      </x:c>
      <x:c r="F58" s="4" t="str">
        <x:v>10개 1봉. 서보 버퍼 출력 직렬 저항.</x:v>
      </x:c>
      <x:c r="G58" s="4" t="str">
        <x:v>옵션 확정 후 발주</x:v>
      </x:c>
      <x:c r="H58" s="4" t="str">
        <x:v>https://github.com/JTech-CO/Smart-Cart-Wiring/blob/3ac3f1d793caba6494d27df6f0b9ba2eee8606d5/data/BOM.csv</x:v>
      </x:c>
    </x:row>
    <x:row r="59" ht="76" customHeight="1">
      <x:c r="A59" s="4" t="str">
        <x:v>B04</x:v>
      </x:c>
      <x:c r="B59" s="4" t="str">
        <x:v>R5,R6</x:v>
      </x:c>
      <x:c r="C59" s="4" t="str">
        <x:v>10kΩ 축형 저항</x:v>
      </x:c>
      <x:c r="D59" s="4" t="str">
        <x:v>0.25W / 5% / 리드형</x:v>
      </x:c>
      <x:c r="E59" s="4" t="str">
        <x:v>원본 수량</x:v>
      </x:c>
      <x:c r="F59" s="4" t="str">
        <x:v>10개 1봉. ESP32 조향 입력 풀다운.</x:v>
      </x:c>
      <x:c r="G59" s="4" t="str">
        <x:v>옵션 확정 후 발주</x:v>
      </x:c>
      <x:c r="H59" s="4" t="str">
        <x:v>https://github.com/JTech-CO/Smart-Cart-Wiring/blob/3ac3f1d793caba6494d27df6f0b9ba2eee8606d5/data/BOM.csv</x:v>
      </x:c>
    </x:row>
    <x:row r="60" ht="76" customHeight="1">
      <x:c r="A60" s="4" t="str">
        <x:v>B05</x:v>
      </x:c>
      <x:c r="B60" s="4" t="str">
        <x:v>U2</x:v>
      </x:c>
      <x:c r="C60" s="4" t="str">
        <x:v>4채널 비반전 버퍼 DIP-14</x:v>
      </x:c>
      <x:c r="D60" s="4" t="str">
        <x:v>TI SN74AHCT125N 정확한 접미사</x:v>
      </x:c>
      <x:c r="E60" s="4" t="str">
        <x:v>원본 수량</x:v>
      </x:c>
      <x:c r="F60" s="4" t="str">
        <x:v>HC/HCT/소형 SMD로 무검증 대체 금지. N=DIP; 5V 전원과 3.3V 입력 호환 검토.</x:v>
      </x:c>
      <x:c r="G60" s="4" t="str">
        <x:v>사양·조달 보류</x:v>
      </x:c>
      <x:c r="H60" s="4" t="str">
        <x:v>https://github.com/JTech-CO/Smart-Cart-Wiring/blob/3ac3f1d793caba6494d27df6f0b9ba2eee8606d5/data/BOM.csv</x:v>
      </x:c>
    </x:row>
    <x:row r="61" ht="76" customHeight="1">
      <x:c r="A61" s="4" t="str">
        <x:v>B06</x:v>
      </x:c>
      <x:c r="B61" s="4" t="str">
        <x:v>C1</x:v>
      </x:c>
      <x:c r="C61" s="4" t="str">
        <x:v>100nF 세라믹 디커플링</x:v>
      </x:c>
      <x:c r="D61" s="4" t="str">
        <x:v>0.1uF / ≥16V / 관통형 리드</x:v>
      </x:c>
      <x:c r="E61" s="4" t="str">
        <x:v>원본 수량</x:v>
      </x:c>
      <x:c r="F61" s="4" t="str">
        <x:v>브레드보드용 리드 부품. 10개 확보 제안; 패키지·국내 재고 미확정.</x:v>
      </x:c>
      <x:c r="G61" s="4" t="str">
        <x:v>사양·조달 보류</x:v>
      </x:c>
      <x:c r="H61" s="4" t="str">
        <x:v>https://github.com/JTech-CO/Smart-Cart-Wiring/blob/3ac3f1d793caba6494d27df6f0b9ba2eee8606d5/data/BOM.csv</x:v>
      </x:c>
    </x:row>
    <x:row r="62" ht="76" customHeight="1">
      <x:c r="A62" s="4" t="str">
        <x:v>B07</x:v>
      </x:c>
      <x:c r="B62" s="4" t="str">
        <x:v>보완/기구</x:v>
      </x:c>
      <x:c r="C62" s="4" t="str">
        <x:v>M-F 벤치 점퍼선</x:v>
      </x:c>
      <x:c r="D62" s="4" t="str"/>
      <x:c r="E62" s="4" t="str">
        <x:v>원본 외부 리드38 + 준비42</x:v>
      </x:c>
      <x:c r="F62" s="4" t="str">
        <x:v>보수적으로 전체 B1 외부 리드 수만큼 준비. 40가닥×2=80. 20cm 카트 하네스 길이 보장 안 됨; 원본 단자 형태별 가공은 별도.</x:v>
      </x:c>
      <x:c r="G62" s="4" t="str">
        <x:v>국내출고 재확인</x:v>
      </x:c>
      <x:c r="H62" s="4" t="str">
        <x:v>https://github.com/JTech-CO/Smart-Cart-Wiring/blob/3ac3f1d793caba6494d27df6f0b9ba2eee8606d5/docs/ASSEMBLY-KR.md</x:v>
      </x:c>
    </x:row>
    <x:row r="63" ht="76" customHeight="1">
      <x:c r="A63" s="4" t="str">
        <x:v>B08</x:v>
      </x:c>
      <x:c r="B63" s="4" t="str">
        <x:v>보완/기구</x:v>
      </x:c>
      <x:c r="C63" s="4" t="str">
        <x:v>M-M 벤치 점퍼선</x:v>
      </x:c>
      <x:c r="D63" s="4" t="str"/>
      <x:c r="E63" s="4" t="str">
        <x:v>원본 내부 점퍼9 + 준비31</x:v>
      </x:c>
      <x:c r="F63" s="4" t="str">
        <x:v>40가닥×1. 원본 9개 점퍼는 양 끝 18접점을 사용.</x:v>
      </x:c>
      <x:c r="G63" s="4" t="str">
        <x:v>국내출고 재확인</x:v>
      </x:c>
      <x:c r="H63" s="4" t="str">
        <x:v>https://github.com/JTech-CO/Smart-Cart-Wiring/blob/3ac3f1d793caba6494d27df6f0b9ba2eee8606d5/docs/ASSEMBLY-KR.md</x:v>
      </x:c>
    </x:row>
    <x:row r="64" ht="76" customHeight="1">
      <x:c r="A64" s="4" t="str">
        <x:v>B09</x:v>
      </x:c>
      <x:c r="B64" s="4" t="str">
        <x:v>보완/기구</x:v>
      </x:c>
      <x:c r="C64" s="4" t="str">
        <x:v>F-F 서비스 점퍼선</x:v>
      </x:c>
      <x:c r="D64" s="4" t="str"/>
      <x:c r="E64" s="4" t="str">
        <x:v>예비 실험 재료; 원본 개수 아님</x:v>
      </x:c>
      <x:c r="F64" s="4" t="str">
        <x:v>40가닥×1 선택 준비. 현장 모듈 핀 성별에 따라 교체 사용; 설치수량 40으로 보고하지 않음.</x:v>
      </x:c>
      <x:c r="G64" s="4" t="str">
        <x:v>국내출고 재확인</x:v>
      </x:c>
      <x:c r="H64" s="4" t="str">
        <x:v>https://github.com/JTech-CO/Smart-Cart-Wiring/blob/3ac3f1d793caba6494d27df6f0b9ba2eee8606d5/docs/ASSEMBLY-KR.md</x:v>
      </x:c>
    </x:row>
    <x:row r="65" ht="76" customHeight="1">
      <x:c r="A65" s="4" t="str">
        <x:v>B10</x:v>
      </x:c>
      <x:c r="B65" s="4" t="str">
        <x:v>보완/기구</x:v>
      </x:c>
      <x:c r="C65" s="4" t="str">
        <x:v>2.54mm 수 헤더 스트립</x:v>
      </x:c>
      <x:c r="D65" s="4" t="str">
        <x:v>1×40 직선; 절단 사용</x:v>
      </x:c>
      <x:c r="E65" s="4" t="str">
        <x:v>소량 조립 여유 제안</x:v>
      </x:c>
      <x:c r="F65" s="4" t="str">
        <x:v>모듈에 동봉된 헤더는 차감. 스트립 1줄=40핀, 1개 부품=1핀으로 혼동 금지.</x:v>
      </x:c>
      <x:c r="G65" s="4" t="str">
        <x:v>사양·조달 보류</x:v>
      </x:c>
      <x:c r="H65" s="4" t="str">
        <x:v>https://github.com/JTech-CO/Smart-Cart-Wiring/blob/3ac3f1d793caba6494d27df6f0b9ba2eee8606d5/docs/ASSEMBLY-KR.md</x:v>
      </x:c>
    </x:row>
    <x:row r="66" ht="76" customHeight="1">
      <x:c r="A66" s="4" t="str">
        <x:v>H01</x:v>
      </x:c>
      <x:c r="B66" s="4" t="str">
        <x:v>보완/기구</x:v>
      </x:c>
      <x:c r="C66" s="4" t="str">
        <x:v>USB 허브 upstream 케이블</x:v>
      </x:c>
      <x:c r="D66" s="4" t="str">
        <x:v>Orange Pi host → H1; 실제 플러그/길이</x:v>
      </x:c>
      <x:c r="E66" s="4" t="str">
        <x:v>통신 링크1</x:v>
      </x:c>
      <x:c r="F66" s="4" t="str">
        <x:v>허브에 포함되면 필요1 동봉차감; 예비1은 선택. 일반 A-A 직결선으로 임의 대체 금지.</x:v>
      </x:c>
      <x:c r="G66" s="4" t="str">
        <x:v>동봉·규격 확인</x:v>
      </x:c>
      <x:c r="H66" s="4" t="str">
        <x:v>https://github.com/JTech-CO/Smart-Cart-Wiring/blob/3ac3f1d793caba6494d27df6f0b9ba2eee8606d5/docs/ASSEMBLY-KR.md</x:v>
      </x:c>
    </x:row>
    <x:row r="67" ht="76" customHeight="1">
      <x:c r="A67" s="4" t="str">
        <x:v>H02</x:v>
      </x:c>
      <x:c r="B67" s="4" t="str">
        <x:v>보완/기구</x:v>
      </x:c>
      <x:c r="C67" s="4" t="str">
        <x:v>ESP32 micro-B 데이터 케이블</x:v>
      </x:c>
      <x:c r="D67" s="4" t="str">
        <x:v>USB A → micro-B; 50cm 후보</x:v>
      </x:c>
      <x:c r="E67" s="4" t="str">
        <x:v>U1 통신 링크1</x:v>
      </x:c>
      <x:c r="F67" s="4" t="str">
        <x:v>필요1+예비1=2. 배치가 50cm를 넘으면 길이 변경 필요.</x:v>
      </x:c>
      <x:c r="G67" s="4" t="str">
        <x:v>국내출고·길이 확인</x:v>
      </x:c>
      <x:c r="H67" s="4" t="str">
        <x:v>https://github.com/JTech-CO/Smart-Cart-Wiring/blob/3ac3f1d793caba6494d27df6f0b9ba2eee8606d5/docs/ASSEMBLY-KR.md</x:v>
      </x:c>
    </x:row>
    <x:row r="68" ht="76" customHeight="1">
      <x:c r="A68" s="4" t="str">
        <x:v>H03</x:v>
      </x:c>
      <x:c r="B68" s="4" t="str">
        <x:v>보완/기구</x:v>
      </x:c>
      <x:c r="C68" s="4" t="str">
        <x:v>UWB 베이스 Type-C 데이터 케이블</x:v>
      </x:c>
      <x:c r="D68" s="4" t="str">
        <x:v>호스트 A → Type-C; 1m 후보</x:v>
      </x:c>
      <x:c r="E68" s="4" t="str">
        <x:v>UWL/UWR 각각1</x:v>
      </x:c>
      <x:c r="F68" s="4" t="str">
        <x:v>2+예비1=3. 호스트측 A 수단자와 데이터 전송을 확인. 베이스 키트 동봉 시 차감.</x:v>
      </x:c>
      <x:c r="G68" s="4" t="str">
        <x:v>국내출고·단자 확인</x:v>
      </x:c>
      <x:c r="H68" s="4" t="str">
        <x:v>https://github.com/JTech-CO/Smart-Cart-Wiring/blob/3ac3f1d793caba6494d27df6f0b9ba2eee8606d5/docs/ASSEMBLY-KR.md</x:v>
      </x:c>
    </x:row>
    <x:row r="69" ht="76" customHeight="1">
      <x:c r="A69" s="4" t="str">
        <x:v>H04</x:v>
      </x:c>
      <x:c r="B69" s="4" t="str">
        <x:v>보완/기구</x:v>
      </x:c>
      <x:c r="C69" s="4" t="str">
        <x:v>C1 어댑터 USB 데이터 케이블</x:v>
      </x:c>
      <x:c r="D69" s="4" t="str">
        <x:v>H1 → A1; 실제 USB 플러그</x:v>
      </x:c>
      <x:c r="E69" s="4" t="str">
        <x:v>A1 통신 링크1</x:v>
      </x:c>
      <x:c r="F69" s="4" t="str">
        <x:v>C1 키트 동봉 시 차감. 어댑터가 고정 USB플러그면 연장 필요 여부에 따라 수량 조정.</x:v>
      </x:c>
      <x:c r="G69" s="4" t="str">
        <x:v>동봉·규격 확인</x:v>
      </x:c>
      <x:c r="H69" s="4" t="str">
        <x:v>https://github.com/JTech-CO/Smart-Cart-Wiring/blob/3ac3f1d793caba6494d27df6f0b9ba2eee8606d5/docs/ASSEMBLY-KR.md</x:v>
      </x:c>
    </x:row>
    <x:row r="70" ht="76" customHeight="1">
      <x:c r="A70" s="4" t="str">
        <x:v>H05</x:v>
      </x:c>
      <x:c r="B70" s="4" t="str">
        <x:v>보완/기구</x:v>
      </x:c>
      <x:c r="C70" s="4" t="str">
        <x:v>C1 센서 전용 하네스</x:v>
      </x:c>
      <x:c r="D70" s="4" t="str">
        <x:v>LD1 ↔ A1; 정품 대응 피치/핀수</x:v>
      </x:c>
      <x:c r="E70" s="4" t="str">
        <x:v>A1-LD1 링크1</x:v>
      </x:c>
      <x:c r="F70" s="4" t="str">
        <x:v>정품 키트 동봉 여부 확인. 임의 JST-XH로 대체 금지.</x:v>
      </x:c>
      <x:c r="G70" s="4" t="str">
        <x:v>동봉·규격 확인</x:v>
      </x:c>
      <x:c r="H70" s="4" t="str">
        <x:v>https://github.com/JTech-CO/Smart-Cart-Wiring/blob/3ac3f1d793caba6494d27df6f0b9ba2eee8606d5/docs/ASSEMBLY-KR.md</x:v>
      </x:c>
    </x:row>
    <x:row r="71" ht="76" customHeight="1">
      <x:c r="A71" s="4" t="str">
        <x:v>H06</x:v>
      </x:c>
      <x:c r="B71" s="4" t="str">
        <x:v>보완/기구</x:v>
      </x:c>
      <x:c r="C71" s="4" t="str">
        <x:v>Orange Pi 전원용 Type-C 하네스</x:v>
      </x:c>
      <x:c r="D71" s="4" t="str">
        <x:v>F7 5V → SBC; ≥3A와 CC구성 검증</x:v>
      </x:c>
      <x:c r="E71" s="4" t="str">
        <x:v>OP1 급전 링크1</x:v>
      </x:c>
      <x:c r="F71" s="4" t="str">
        <x:v>임의 USB 데이터 케이블을 잘라 급전하는 설계로 승인하지 않음. 전압강하 검증.</x:v>
      </x:c>
      <x:c r="G71" s="4" t="str">
        <x:v>사양·조달 보류</x:v>
      </x:c>
      <x:c r="H71" s="4" t="str">
        <x:v>https://github.com/JTech-CO/Smart-Cart-Wiring/blob/3ac3f1d793caba6494d27df6f0b9ba2eee8606d5/docs/ASSEMBLY-KR.md</x:v>
      </x:c>
    </x:row>
    <x:row r="72" ht="76" customHeight="1">
      <x:c r="A72" s="4" t="str">
        <x:v>H07</x:v>
      </x:c>
      <x:c r="B72" s="4" t="str">
        <x:v>보완/기구</x:v>
      </x:c>
      <x:c r="C72" s="4" t="str">
        <x:v>USB 허브 외부 5V 전원 하네스</x:v>
      </x:c>
      <x:c r="D72" s="4" t="str">
        <x:v>F8 → H1; 배럴/전용커넥터와 극성</x:v>
      </x:c>
      <x:c r="E72" s="4" t="str">
        <x:v>H1 급전 링크1</x:v>
      </x:c>
      <x:c r="F72" s="4" t="str">
        <x:v>허브 번들 AC 어댑터와 차량 DC입력 경로를 구분.</x:v>
      </x:c>
      <x:c r="G72" s="4" t="str">
        <x:v>사양·조달 보류</x:v>
      </x:c>
      <x:c r="H72" s="4" t="str">
        <x:v>https://github.com/JTech-CO/Smart-Cart-Wiring/blob/3ac3f1d793caba6494d27df6f0b9ba2eee8606d5/docs/ASSEMBLY-KR.md</x:v>
      </x:c>
    </x:row>
    <x:row r="73" ht="76" customHeight="1">
      <x:c r="A73" s="4" t="str">
        <x:v>H08</x:v>
      </x:c>
      <x:c r="B73" s="4" t="str">
        <x:v>보완/기구</x:v>
      </x:c>
      <x:c r="C73" s="4" t="str">
        <x:v>태그 전원 케이블</x:v>
      </x:c>
      <x:c r="D73" s="4" t="str">
        <x:v>TAG1 ↔ 독립 전원; 실제 커넥터</x:v>
      </x:c>
      <x:c r="E73" s="4" t="str">
        <x:v>태그 독립 급전 링크1</x:v>
      </x:c>
      <x:c r="F73" s="4" t="str">
        <x:v>태그가 내장배터리면 충전선만 필요. 카트 배터리로 유선 연결하지 않음.</x:v>
      </x:c>
      <x:c r="G73" s="4" t="str">
        <x:v>사양·조달 보류</x:v>
      </x:c>
      <x:c r="H73" s="4" t="str">
        <x:v>https://github.com/JTech-CO/Smart-Cart-Wiring/blob/3ac3f1d793caba6494d27df6f0b9ba2eee8606d5/docs/ASSEMBLY-KR.md</x:v>
      </x:c>
    </x:row>
    <x:row r="74" ht="76" customHeight="1">
      <x:c r="A74" s="4" t="str">
        <x:v>H09</x:v>
      </x:c>
      <x:c r="B74" s="4" t="str">
        <x:v>보완/기구</x:v>
      </x:c>
      <x:c r="C74" s="4" t="str">
        <x:v>배터리 메인 양극 케이블</x:v>
      </x:c>
      <x:c r="D74" s="4" t="str">
        <x:v>전류·길이·온도·퓨즈 협조로 AWG/SQ 결정</x:v>
      </x:c>
      <x:c r="E74" s="4" t="str">
        <x:v>실측 필요</x:v>
      </x:c>
      <x:c r="F74" s="4" t="str">
        <x:v>BT1→F0→S0→X24. 길이 미정; AWG12 등 고정값을 구매 승인하지 않음.</x:v>
      </x:c>
      <x:c r="G74" s="4" t="str">
        <x:v>사양·조달 보류</x:v>
      </x:c>
      <x:c r="H74" s="4" t="str">
        <x:v>https://github.com/JTech-CO/Smart-Cart-Wiring/blob/3ac3f1d793caba6494d27df6f0b9ba2eee8606d5/docs/ASSEMBLY-KR.md</x:v>
      </x:c>
    </x:row>
    <x:row r="75" ht="76" customHeight="1">
      <x:c r="A75" s="4" t="str">
        <x:v>H10</x:v>
      </x:c>
      <x:c r="B75" s="4" t="str">
        <x:v>보완/기구</x:v>
      </x:c>
      <x:c r="C75" s="4" t="str">
        <x:v>배터리·구동 음극 케이블</x:v>
      </x:c>
      <x:c r="D75" s="4" t="str">
        <x:v>양극과 동등 귀환 조건; 검정</x:v>
      </x:c>
      <x:c r="E75" s="4" t="str">
        <x:v>실측 필요</x:v>
      </x:c>
      <x:c r="F75" s="4" t="str">
        <x:v>BT1→X0 및 분기. 메인 전력 귀환을 점퍼선으로 연결 금지.</x:v>
      </x:c>
      <x:c r="G75" s="4" t="str">
        <x:v>사양·조달 보류</x:v>
      </x:c>
      <x:c r="H75" s="4" t="str">
        <x:v>https://github.com/JTech-CO/Smart-Cart-Wiring/blob/3ac3f1d793caba6494d27df6f0b9ba2eee8606d5/docs/ASSEMBLY-KR.md</x:v>
      </x:c>
    </x:row>
    <x:row r="76" ht="76" customHeight="1">
      <x:c r="A76" s="4" t="str">
        <x:v>H11</x:v>
      </x:c>
      <x:c r="B76" s="4" t="str">
        <x:v>보완/기구</x:v>
      </x:c>
      <x:c r="C76" s="4" t="str">
        <x:v>모터 전력 하네스</x:v>
      </x:c>
      <x:c r="D76" s="4" t="str">
        <x:v>각 드라이버 입력 2선 + 모터 출력 2선</x:v>
      </x:c>
      <x:c r="E76" s="4" t="str">
        <x:v>모터2축의 하네스2세트</x:v>
      </x:c>
      <x:c r="F76" s="4" t="str">
        <x:v>총8도체 구간이지만 m 수량은 미정. 세트당 길이·단자·방열을 별도 확정.</x:v>
      </x:c>
      <x:c r="G76" s="4" t="str">
        <x:v>사양·조달 보류</x:v>
      </x:c>
      <x:c r="H76" s="4" t="str">
        <x:v>https://github.com/JTech-CO/Smart-Cart-Wiring/blob/3ac3f1d793caba6494d27df6f0b9ba2eee8606d5/docs/ASSEMBLY-KR.md</x:v>
      </x:c>
    </x:row>
    <x:row r="77" ht="76" customHeight="1">
      <x:c r="A77" s="4" t="str">
        <x:v>H12</x:v>
      </x:c>
      <x:c r="B77" s="4" t="str">
        <x:v>보완/기구</x:v>
      </x:c>
      <x:c r="C77" s="4" t="str">
        <x:v>DC-DC 및 5V/12V 전력 배선</x:v>
      </x:c>
      <x:c r="D77" s="4" t="str">
        <x:v>컨버터·부하별 단면/색상 분리</x:v>
      </x:c>
      <x:c r="E77" s="4" t="str">
        <x:v>실측 필요</x:v>
      </x:c>
      <x:c r="F77" s="4" t="str">
        <x:v>12V/5V 양극을 같은 색만으로 식별하지 말고 전압 라벨 병기.</x:v>
      </x:c>
      <x:c r="G77" s="4" t="str">
        <x:v>사양·조달 보류</x:v>
      </x:c>
      <x:c r="H77" s="4" t="str">
        <x:v>https://github.com/JTech-CO/Smart-Cart-Wiring/blob/3ac3f1d793caba6494d27df6f0b9ba2eee8606d5/docs/ASSEMBLY-KR.md</x:v>
      </x:c>
    </x:row>
    <x:row r="78" ht="76" customHeight="1">
      <x:c r="A78" s="4" t="str">
        <x:v>H13</x:v>
      </x:c>
      <x:c r="B78" s="4" t="str">
        <x:v>보완/기구</x:v>
      </x:c>
      <x:c r="C78" s="4" t="str">
        <x:v>신호용 다심 하네스</x:v>
      </x:c>
      <x:c r="D78" s="4" t="str">
        <x:v>센서/드라이버별 도체 수·차폐·길이</x:v>
      </x:c>
      <x:c r="E78" s="4" t="str">
        <x:v>실측 필요</x:v>
      </x:c>
      <x:c r="F78" s="4" t="str">
        <x:v>B07의 20cm 점퍼 구매량과 차량 하네스 m를 혼동하지 않음.</x:v>
      </x:c>
      <x:c r="G78" s="4" t="str">
        <x:v>사양·조달 보류</x:v>
      </x:c>
      <x:c r="H78" s="4" t="str">
        <x:v>https://github.com/JTech-CO/Smart-Cart-Wiring/blob/3ac3f1d793caba6494d27df6f0b9ba2eee8606d5/docs/ASSEMBLY-KR.md</x:v>
      </x:c>
    </x:row>
    <x:row r="79" ht="76" customHeight="1">
      <x:c r="A79" s="4" t="str">
        <x:v>H14</x:v>
      </x:c>
      <x:c r="B79" s="4" t="str">
        <x:v>보완/기구</x:v>
      </x:c>
      <x:c r="C79" s="4" t="str">
        <x:v>고전류 착탈 커넥터</x:v>
      </x:c>
      <x:c r="D79" s="4" t="str">
        <x:v>정격·극성·축전 에너지·방수 조건</x:v>
      </x:c>
      <x:c r="E79" s="4" t="str">
        <x:v>접속부 미확정</x:v>
      </x:c>
      <x:c r="F79" s="4" t="str">
        <x:v>암/수 결합1쌍 기준. XT60/XT90 등을 실제 분기전류와 무관하게 일괄 지정하지 않음.</x:v>
      </x:c>
      <x:c r="G79" s="4" t="str">
        <x:v>사양·조달 보류</x:v>
      </x:c>
      <x:c r="H79" s="4" t="str">
        <x:v>https://github.com/JTech-CO/Smart-Cart-Wiring/blob/3ac3f1d793caba6494d27df6f0b9ba2eee8606d5/docs/ASSEMBLY-KR.md</x:v>
      </x:c>
    </x:row>
    <x:row r="80" ht="76" customHeight="1">
      <x:c r="A80" s="4" t="str">
        <x:v>H15</x:v>
      </x:c>
      <x:c r="B80" s="4" t="str">
        <x:v>보완/기구</x:v>
      </x:c>
      <x:c r="C80" s="4" t="str">
        <x:v>링 압착 단자</x:v>
      </x:c>
      <x:c r="D80" s="4" t="str">
        <x:v>케이블 단면 + 스터드 지름 일치</x:v>
      </x:c>
      <x:c r="E80" s="4" t="str">
        <x:v>단자 확정 후 산출</x:v>
      </x:c>
      <x:c r="F80" s="4" t="str">
        <x:v>M8 표기를 배터리 실측 없이 적용하지 않음. 한 케이블 양끝 중 링 단자 끝만 계수.</x:v>
      </x:c>
      <x:c r="G80" s="4" t="str">
        <x:v>사양·조달 보류</x:v>
      </x:c>
      <x:c r="H80" s="4" t="str">
        <x:v>https://github.com/JTech-CO/Smart-Cart-Wiring/blob/3ac3f1d793caba6494d27df6f0b9ba2eee8606d5/docs/ASSEMBLY-KR.md</x:v>
      </x:c>
    </x:row>
    <x:row r="81" ht="76" customHeight="1">
      <x:c r="A81" s="4" t="str">
        <x:v>H16</x:v>
      </x:c>
      <x:c r="B81" s="4" t="str">
        <x:v>보완/기구</x:v>
      </x:c>
      <x:c r="C81" s="4" t="str">
        <x:v>페룰·핀 단자</x:v>
      </x:c>
      <x:c r="D81" s="4" t="str">
        <x:v>단자대 허용 페룰 및 도체 단면</x:v>
      </x:c>
      <x:c r="E81" s="4" t="str">
        <x:v>단자 확정 후 산출</x:v>
      </x:c>
      <x:c r="F81" s="4" t="str">
        <x:v>링 단자와 같은 접속점을 중복 계수하지 않음.</x:v>
      </x:c>
      <x:c r="G81" s="4" t="str">
        <x:v>사양·조달 보류</x:v>
      </x:c>
      <x:c r="H81" s="4" t="str">
        <x:v>https://github.com/JTech-CO/Smart-Cart-Wiring/blob/3ac3f1d793caba6494d27df6f0b9ba2eee8606d5/docs/ASSEMBLY-KR.md</x:v>
      </x:c>
    </x:row>
    <x:row r="82" ht="76" customHeight="1">
      <x:c r="A82" s="4" t="str">
        <x:v>H17</x:v>
      </x:c>
      <x:c r="B82" s="4" t="str">
        <x:v>보완/기구</x:v>
      </x:c>
      <x:c r="C82" s="4" t="str">
        <x:v>센서 잠금형 커넥터·접점</x:v>
      </x:c>
      <x:c r="D82" s="4" t="str">
        <x:v>암/수하우징·압착접점·실링 모두 포함</x:v>
      </x:c>
      <x:c r="E82" s="4" t="str">
        <x:v>주행용 하네스 보완</x:v>
      </x:c>
      <x:c r="F82" s="4" t="str">
        <x:v>브레드보드 벤치 검증 후 이전할 최종 하네스. 피치·접점수·도체 굵기별 수량 확정 필요.</x:v>
      </x:c>
      <x:c r="G82" s="4" t="str">
        <x:v>사양·조달 보류</x:v>
      </x:c>
      <x:c r="H82" s="4" t="str">
        <x:v>https://github.com/JTech-CO/Smart-Cart-Wiring/blob/3ac3f1d793caba6494d27df6f0b9ba2eee8606d5/docs/ASSEMBLY-KR.md</x:v>
      </x:c>
    </x:row>
    <x:row r="83" ht="76" customHeight="1">
      <x:c r="A83" s="4" t="str">
        <x:v>H18</x:v>
      </x:c>
      <x:c r="B83" s="4" t="str">
        <x:v>보완/기구</x:v>
      </x:c>
      <x:c r="C83" s="4" t="str">
        <x:v>배터리 충전 포트·상대 플러그</x:v>
      </x:c>
      <x:c r="D83" s="4" t="str">
        <x:v>제조사 승인 충전 경로/BMS 조건</x:v>
      </x:c>
      <x:c r="E83" s="4" t="str">
        <x:v>누락 보완</x:v>
      </x:c>
      <x:c r="F83" s="4" t="str">
        <x:v>배터리 팩에 일체형이면 동봉차감. 충전퓨즈 E15와 경로 확인.</x:v>
      </x:c>
      <x:c r="G83" s="4" t="str">
        <x:v>사양·조달 보류</x:v>
      </x:c>
      <x:c r="H83" s="4" t="str">
        <x:v>https://github.com/JTech-CO/Smart-Cart-Wiring/blob/3ac3f1d793caba6494d27df6f0b9ba2eee8606d5/docs/ASSEMBLY-KR.md</x:v>
      </x:c>
    </x:row>
    <x:row r="84" ht="76" customHeight="1">
      <x:c r="A84" s="4" t="str">
        <x:v>H19</x:v>
      </x:c>
      <x:c r="B84" s="4" t="str">
        <x:v>보완/기구</x:v>
      </x:c>
      <x:c r="C84" s="4" t="str">
        <x:v>좌/우 서보 전력·신호 하네스</x:v>
      </x:c>
      <x:c r="D84" s="4" t="str">
        <x:v>12V 고전류2선 + PWM/GND기준; 필요시 피드백</x:v>
      </x:c>
      <x:c r="E84" s="4" t="str">
        <x:v>서보2개의 연결2세트</x:v>
      </x:c>
      <x:c r="F84" s="4" t="str">
        <x:v>Dupont/JST 소형점퍼에 서보 스톨전류를 흘리지 않음. 선 색/가닥수 실모델 확인.</x:v>
      </x:c>
      <x:c r="G84" s="4" t="str">
        <x:v>사양·조달 보류</x:v>
      </x:c>
      <x:c r="H84" s="4" t="str">
        <x:v>https://github.com/JTech-CO/Smart-Cart-Wiring/blob/3ac3f1d793caba6494d27df6f0b9ba2eee8606d5/docs/ASSEMBLY-KR.md</x:v>
      </x:c>
    </x:row>
    <x:row r="85" ht="76" customHeight="1">
      <x:c r="A85" s="4" t="str">
        <x:v>M01</x:v>
      </x:c>
      <x:c r="B85" s="4" t="str">
        <x:v>보완/기구</x:v>
      </x:c>
      <x:c r="C85" s="4" t="str">
        <x:v>케이블 타이</x:v>
      </x:c>
      <x:c r="D85" s="4" t="str">
        <x:v>폭/길이/난연성·내후성 결정</x:v>
      </x:c>
      <x:c r="E85" s="4" t="str">
        <x:v>작업 준비량 제안</x:v>
      </x:c>
      <x:c r="F85" s="4" t="str">
        <x:v>실장60은 견적용 준비 기준이지 CAD 산출 아님. 100개 확보 계획; 국내 판매팩 미확정.</x:v>
      </x:c>
      <x:c r="G85" s="4" t="str">
        <x:v>사양·조달 보류</x:v>
      </x:c>
      <x:c r="H85" s="4" t="str">
        <x:v>https://github.com/JTech-CO/Smart-Cart-Wiring/blob/3ac3f1d793caba6494d27df6f0b9ba2eee8606d5/docs/ASSEMBLY-KR.md</x:v>
      </x:c>
    </x:row>
    <x:row r="86" ht="76" customHeight="1">
      <x:c r="A86" s="4" t="str">
        <x:v>M02</x:v>
      </x:c>
      <x:c r="B86" s="4" t="str">
        <x:v>보완/기구</x:v>
      </x:c>
      <x:c r="C86" s="4" t="str">
        <x:v>열수축 튜브 묶음</x:v>
      </x:c>
      <x:c r="D86" s="4" t="str">
        <x:v>소선/전력선 지름; 접착식 필요 여부</x:v>
      </x:c>
      <x:c r="E86" s="4" t="str">
        <x:v>작업 준비량 제안</x:v>
      </x:c>
      <x:c r="F86" s="4" t="str">
        <x:v>정확한 절단 길이와 지름별 수량은 H09~H19 확정 후 산출.</x:v>
      </x:c>
      <x:c r="G86" s="4" t="str">
        <x:v>사양·조달 보류</x:v>
      </x:c>
      <x:c r="H86" s="4" t="str">
        <x:v>https://github.com/JTech-CO/Smart-Cart-Wiring/blob/3ac3f1d793caba6494d27df6f0b9ba2eee8606d5/docs/ASSEMBLY-KR.md</x:v>
      </x:c>
    </x:row>
    <x:row r="87" ht="76" customHeight="1">
      <x:c r="A87" s="4" t="str">
        <x:v>M03</x:v>
      </x:c>
      <x:c r="B87" s="4" t="str">
        <x:v>보완/기구</x:v>
      </x:c>
      <x:c r="C87" s="4" t="str">
        <x:v>센서선 스파이럴 랩</x:v>
      </x:c>
      <x:c r="D87" s="4" t="str"/>
      <x:c r="E87" s="4" t="str">
        <x:v>작업 준비4m+가공여유2m</x:v>
      </x:c>
      <x:c r="F87" s="4" t="str">
        <x:v>2m×3팩=6m. 전력선의 굵은 묶음에는 규격 재선정.</x:v>
      </x:c>
      <x:c r="G87" s="4" t="str">
        <x:v>번들치수·출고 확인</x:v>
      </x:c>
      <x:c r="H87" s="4" t="str">
        <x:v>https://github.com/JTech-CO/Smart-Cart-Wiring/blob/3ac3f1d793caba6494d27df6f0b9ba2eee8606d5/docs/ASSEMBLY-KR.md</x:v>
      </x:c>
    </x:row>
    <x:row r="88" ht="76" customHeight="1">
      <x:c r="A88" s="4" t="str">
        <x:v>M04</x:v>
      </x:c>
      <x:c r="B88" s="4" t="str">
        <x:v>보완/기구</x:v>
      </x:c>
      <x:c r="C88" s="4" t="str">
        <x:v>내구성 케이블 라벨</x:v>
      </x:c>
      <x:c r="D88" s="4" t="str">
        <x:v>전압/극성/양끝단자 ID</x:v>
      </x:c>
      <x:c r="E88" s="4" t="str">
        <x:v>작업 준비량 제안</x:v>
      </x:c>
      <x:c r="F88" s="4" t="str">
        <x:v>전기 단자194개와 라벨장수194개는 동일하지 않음. 하네스 끝 수 기준 후속 산출.</x:v>
      </x:c>
      <x:c r="G88" s="4" t="str">
        <x:v>사양·조달 보류</x:v>
      </x:c>
      <x:c r="H88" s="4" t="str">
        <x:v>https://github.com/JTech-CO/Smart-Cart-Wiring/blob/3ac3f1d793caba6494d27df6f0b9ba2eee8606d5/docs/ASSEMBLY-KR.md</x:v>
      </x:c>
    </x:row>
    <x:row r="89" ht="76" customHeight="1">
      <x:c r="A89" s="4" t="str">
        <x:v>M05</x:v>
      </x:c>
      <x:c r="B89" s="4" t="str">
        <x:v>보완/기구</x:v>
      </x:c>
      <x:c r="C89" s="4" t="str">
        <x:v>케이블 글랜드·고무 그로밋</x:v>
      </x:c>
      <x:c r="D89" s="4" t="str">
        <x:v>박스 관통홀·케이블 외경·IP조건</x:v>
      </x:c>
      <x:c r="E89" s="4" t="str">
        <x:v>실측 필요</x:v>
      </x:c>
      <x:c r="F89" s="4" t="str">
        <x:v>최종 박스 입출구 수가 없으므로 수량 확정 불가.</x:v>
      </x:c>
      <x:c r="G89" s="4" t="str">
        <x:v>사양·조달 보류</x:v>
      </x:c>
      <x:c r="H89" s="4" t="str">
        <x:v>https://github.com/JTech-CO/Smart-Cart-Wiring/blob/3ac3f1d793caba6494d27df6f0b9ba2eee8606d5/docs/ASSEMBLY-KR.md</x:v>
      </x:c>
    </x:row>
    <x:row r="90" ht="76" customHeight="1">
      <x:c r="A90" s="4" t="str">
        <x:v>M06</x:v>
      </x:c>
      <x:c r="B90" s="4" t="str">
        <x:v>보완/기구</x:v>
      </x:c>
      <x:c r="C90" s="4" t="str">
        <x:v>케이블 고정 클램프·P클립</x:v>
      </x:c>
      <x:c r="D90" s="4" t="str">
        <x:v>프레임 장착방법/케이블 외경</x:v>
      </x:c>
      <x:c r="E90" s="4" t="str">
        <x:v>실측 필요</x:v>
      </x:c>
      <x:c r="F90" s="4" t="str">
        <x:v>최대 지지 간격·이동 관절을 고려한 배치 후 계수.</x:v>
      </x:c>
      <x:c r="G90" s="4" t="str">
        <x:v>사양·조달 보류</x:v>
      </x:c>
      <x:c r="H90" s="4" t="str">
        <x:v>https://github.com/JTech-CO/Smart-Cart-Wiring/blob/3ac3f1d793caba6494d27df6f0b9ba2eee8606d5/docs/ASSEMBLY-KR.md</x:v>
      </x:c>
    </x:row>
    <x:row r="91" ht="76" customHeight="1">
      <x:c r="A91" s="4" t="str">
        <x:v>M07</x:v>
      </x:c>
      <x:c r="B91" s="4" t="str">
        <x:v>보완/기구</x:v>
      </x:c>
      <x:c r="C91" s="4" t="str">
        <x:v>전기 절연 테이프</x:v>
      </x:c>
      <x:c r="D91" s="4" t="str">
        <x:v>전기용 정격 제품</x:v>
      </x:c>
      <x:c r="E91" s="4" t="str">
        <x:v>작업 준비량 제안</x:v>
      </x:c>
      <x:c r="F91" s="4" t="str">
        <x:v>압착 불량/단자 보호 커버 부재를 테이프로 대신하지 않음.</x:v>
      </x:c>
      <x:c r="G91" s="4" t="str">
        <x:v>사양·조달 보류</x:v>
      </x:c>
      <x:c r="H91" s="4" t="str">
        <x:v>https://github.com/JTech-CO/Smart-Cart-Wiring/blob/3ac3f1d793caba6494d27df6f0b9ba2eee8606d5/docs/ASSEMBLY-KR.md</x:v>
      </x:c>
    </x:row>
    <x:row r="92" ht="76" customHeight="1">
      <x:c r="A92" s="4" t="str">
        <x:v>M08</x:v>
      </x:c>
      <x:c r="B92" s="4" t="str">
        <x:v>보완/기구</x:v>
      </x:c>
      <x:c r="C92" s="4" t="str">
        <x:v>납·플럭스·세척 재료</x:v>
      </x:c>
      <x:c r="D92" s="4" t="str">
        <x:v>헤더 조립/벤치 작업용</x:v>
      </x:c>
      <x:c r="E92" s="4" t="str">
        <x:v>작업 준비량 제안</x:v>
      </x:c>
      <x:c r="F92" s="4" t="str">
        <x:v>장비/재료 보유 시 차감. 대전류 러그는 적절한 압착 공구 사용.</x:v>
      </x:c>
      <x:c r="G92" s="4" t="str">
        <x:v>사양·조달 보류</x:v>
      </x:c>
      <x:c r="H92" s="4" t="str">
        <x:v>https://github.com/JTech-CO/Smart-Cart-Wiring/blob/3ac3f1d793caba6494d27df6f0b9ba2eee8606d5/docs/ASSEMBLY-KR.md</x:v>
      </x:c>
    </x:row>
    <x:row r="93" ht="76" customHeight="1">
      <x:c r="A93" s="4" t="str">
        <x:v>G01</x:v>
      </x:c>
      <x:c r="B93" s="4" t="str">
        <x:v>보완/기구</x:v>
      </x:c>
      <x:c r="C93" s="4" t="str">
        <x:v>평판대차 기본 프레임·적재판</x:v>
      </x:c>
      <x:c r="D93" s="4" t="str">
        <x:v>하중·치수·무게중심 확정</x:v>
      </x:c>
      <x:c r="E93" s="4" t="str">
        <x:v>3D 조립체 개수 / 치수 미확정</x:v>
      </x:c>
      <x:c r="F93" s="4" t="str">
        <x:v>기존 대차 사용 여부를 보유 수량에 입력. 가드/손잡이/캐스터 동봉 확인.</x:v>
      </x:c>
      <x:c r="G93" s="4" t="str">
        <x:v>사양·조달 보류</x:v>
      </x:c>
      <x:c r="H93" s="4" t="str">
        <x:v>https://github.com/JTech-CO/Smart-Cart/blob/2b4b8fea6909e4f76b4a52b02c5075c3f478097b/js/cart-model.js</x:v>
      </x:c>
    </x:row>
    <x:row r="94" ht="76" customHeight="1">
      <x:c r="A94" s="4" t="str">
        <x:v>G02</x:v>
      </x:c>
      <x:c r="B94" s="4" t="str">
        <x:v>보완/기구</x:v>
      </x:c>
      <x:c r="C94" s="4" t="str">
        <x:v>삼면 가드 프레임</x:v>
      </x:c>
      <x:c r="D94" s="4" t="str">
        <x:v>튜브 단면·재료·용접/브래킷 방식</x:v>
      </x:c>
      <x:c r="E94" s="4" t="str">
        <x:v>3D 조립체 개수 / 치수 미확정</x:v>
      </x:c>
      <x:c r="F94" s="4" t="str">
        <x:v>3D는 시각화 치수. 파이프 절단 길이와 체결부 수는 별도 실측 필요.</x:v>
      </x:c>
      <x:c r="G94" s="4" t="str">
        <x:v>사양·조달 보류</x:v>
      </x:c>
      <x:c r="H94" s="4" t="str">
        <x:v>https://github.com/JTech-CO/Smart-Cart/blob/2b4b8fea6909e4f76b4a52b02c5075c3f478097b/js/cart-model.js</x:v>
      </x:c>
    </x:row>
    <x:row r="95" ht="76" customHeight="1">
      <x:c r="A95" s="4" t="str">
        <x:v>G03</x:v>
      </x:c>
      <x:c r="B95" s="4" t="str">
        <x:v>보완/기구</x:v>
      </x:c>
      <x:c r="C95" s="4" t="str">
        <x:v>접이식 손잡이</x:v>
      </x:c>
      <x:c r="D95" s="4" t="str">
        <x:v>파지 높이·잠금·힌지 지지</x:v>
      </x:c>
      <x:c r="E95" s="4" t="str">
        <x:v>3D 조립체 개수 / 치수 미확정</x:v>
      </x:c>
      <x:c r="F95" s="4" t="str">
        <x:v>G01에 포함 시 차감.</x:v>
      </x:c>
      <x:c r="G95" s="4" t="str">
        <x:v>사양·조달 보류</x:v>
      </x:c>
      <x:c r="H95" s="4" t="str">
        <x:v>https://github.com/JTech-CO/Smart-Cart/blob/2b4b8fea6909e4f76b4a52b02c5075c3f478097b/js/cart-model.js</x:v>
      </x:c>
    </x:row>
    <x:row r="96" ht="76" customHeight="1">
      <x:c r="A96" s="4" t="str">
        <x:v>G04</x:v>
      </x:c>
      <x:c r="B96" s="4" t="str">
        <x:v>보완/기구</x:v>
      </x:c>
      <x:c r="C96" s="4" t="str">
        <x:v>손잡이 힌지·잠금부</x:v>
      </x:c>
      <x:c r="D96" s="4" t="str">
        <x:v>좌/우 각1; 기구 강도</x:v>
      </x:c>
      <x:c r="E96" s="4" t="str">
        <x:v>3D 조립체 개수 / 치수 미확정</x:v>
      </x:c>
      <x:c r="F96" s="4" t="str">
        <x:v>G03 세트에 포함될 경우 중복 발주 금지.</x:v>
      </x:c>
      <x:c r="G96" s="4" t="str">
        <x:v>사양·조달 보류</x:v>
      </x:c>
      <x:c r="H96" s="4" t="str">
        <x:v>https://github.com/JTech-CO/Smart-Cart/blob/2b4b8fea6909e4f76b4a52b02c5075c3f478097b/js/cart-model.js</x:v>
      </x:c>
    </x:row>
    <x:row r="97" ht="76" customHeight="1">
      <x:c r="A97" s="4" t="str">
        <x:v>G05</x:v>
      </x:c>
      <x:c r="B97" s="4" t="str">
        <x:v>보완/기구</x:v>
      </x:c>
      <x:c r="C97" s="4" t="str">
        <x:v>손잡이 그립</x:v>
      </x:c>
      <x:c r="D97" s="4" t="str">
        <x:v>손잡이 관경·길이</x:v>
      </x:c>
      <x:c r="E97" s="4" t="str">
        <x:v>3D 조립체 개수 / 치수 미확정</x:v>
      </x:c>
      <x:c r="F97" s="4" t="str">
        <x:v>G03에 포함 시 차감.</x:v>
      </x:c>
      <x:c r="G97" s="4" t="str">
        <x:v>사양·조달 보류</x:v>
      </x:c>
      <x:c r="H97" s="4" t="str">
        <x:v>https://github.com/JTech-CO/Smart-Cart/blob/2b4b8fea6909e4f76b4a52b02c5075c3f478097b/js/cart-model.js</x:v>
      </x:c>
    </x:row>
    <x:row r="98" ht="76" customHeight="1">
      <x:c r="A98" s="4" t="str">
        <x:v>G06</x:v>
      </x:c>
      <x:c r="B98" s="4" t="str">
        <x:v>보완/기구</x:v>
      </x:c>
      <x:c r="C98" s="4" t="str">
        <x:v>미끄럼방지 적재 매트</x:v>
      </x:c>
      <x:c r="D98" s="4" t="str">
        <x:v>실제 적재판 외형</x:v>
      </x:c>
      <x:c r="E98" s="4" t="str">
        <x:v>3D 조립체 개수 / 치수 미확정</x:v>
      </x:c>
      <x:c r="F98" s="4" t="str">
        <x:v>기성 대차 표면에 이미 적용되어 있으면 차감.</x:v>
      </x:c>
      <x:c r="G98" s="4" t="str">
        <x:v>사양·조달 보류</x:v>
      </x:c>
      <x:c r="H98" s="4" t="str">
        <x:v>https://github.com/JTech-CO/Smart-Cart/blob/2b4b8fea6909e4f76b4a52b02c5075c3f478097b/js/cart-model.js</x:v>
      </x:c>
    </x:row>
    <x:row r="99" ht="76" customHeight="1">
      <x:c r="A99" s="4" t="str">
        <x:v>G07</x:v>
      </x:c>
      <x:c r="B99" s="4" t="str">
        <x:v>보완/기구</x:v>
      </x:c>
      <x:c r="C99" s="4" t="str">
        <x:v>후륜 구동 휠</x:v>
      </x:c>
      <x:c r="D99" s="4" t="str">
        <x:v>외경·폭·허브·허용하중</x:v>
      </x:c>
      <x:c r="E99" s="4" t="str">
        <x:v>3D 조립체 개수 / 치수 미확정</x:v>
      </x:c>
      <x:c r="F99" s="4" t="str">
        <x:v>외관 직경 추정치를 실측값처럼 발주하지 않음.</x:v>
      </x:c>
      <x:c r="G99" s="4" t="str">
        <x:v>사양·조달 보류</x:v>
      </x:c>
      <x:c r="H99" s="4" t="str">
        <x:v>https://github.com/JTech-CO/Smart-Cart/blob/2b4b8fea6909e4f76b4a52b02c5075c3f478097b/js/cart-model.js</x:v>
      </x:c>
    </x:row>
    <x:row r="100" ht="76" customHeight="1">
      <x:c r="A100" s="4" t="str">
        <x:v>G08</x:v>
      </x:c>
      <x:c r="B100" s="4" t="str">
        <x:v>보완/기구</x:v>
      </x:c>
      <x:c r="C100" s="4" t="str">
        <x:v>전륜 자유회전 캐스터</x:v>
      </x:c>
      <x:c r="D100" s="4" t="str">
        <x:v>회전반경·플레이트·하중</x:v>
      </x:c>
      <x:c r="E100" s="4" t="str">
        <x:v>3D 조립체 개수 / 치수 미확정</x:v>
      </x:c>
      <x:c r="F100" s="4" t="str">
        <x:v>기본 차동구동용. G01 포함이면 차감; 서보조향 채택 시 기구 재설계.</x:v>
      </x:c>
      <x:c r="G100" s="4" t="str">
        <x:v>사양·조달 보류</x:v>
      </x:c>
      <x:c r="H100" s="4" t="str">
        <x:v>https://github.com/JTech-CO/Smart-Cart/blob/2b4b8fea6909e4f76b4a52b02c5075c3f478097b/js/cart-model.js</x:v>
      </x:c>
    </x:row>
    <x:row r="101" ht="76" customHeight="1">
      <x:c r="A101" s="4" t="str">
        <x:v>G09</x:v>
      </x:c>
      <x:c r="B101" s="4" t="str">
        <x:v>보완/기구</x:v>
      </x:c>
      <x:c r="C101" s="4" t="str">
        <x:v>모터 출력 허브·커플링</x:v>
      </x:c>
      <x:c r="D101" s="4" t="str">
        <x:v>축경/키/체결/토크 일치</x:v>
      </x:c>
      <x:c r="E101" s="4" t="str">
        <x:v>3D 조립체 개수 / 치수 미확정</x:v>
      </x:c>
      <x:c r="F101" s="4" t="str">
        <x:v>기어모터와 구동 휠을 잇는 좌/우2세트.</x:v>
      </x:c>
      <x:c r="G101" s="4" t="str">
        <x:v>사양·조달 보류</x:v>
      </x:c>
      <x:c r="H101" s="4" t="str">
        <x:v>https://github.com/JTech-CO/Smart-Cart/blob/2b4b8fea6909e4f76b4a52b02c5075c3f478097b/js/cart-model.js</x:v>
      </x:c>
    </x:row>
    <x:row r="102" ht="76" customHeight="1">
      <x:c r="A102" s="4" t="str">
        <x:v>G10</x:v>
      </x:c>
      <x:c r="B102" s="4" t="str">
        <x:v>보완/기구</x:v>
      </x:c>
      <x:c r="C102" s="4" t="str">
        <x:v>모터 장착 브래킷</x:v>
      </x:c>
      <x:c r="D102" s="4" t="str">
        <x:v>모터 체결홀·차체 지지</x:v>
      </x:c>
      <x:c r="E102" s="4" t="str">
        <x:v>3D 조립체 개수 / 치수 미확정</x:v>
      </x:c>
      <x:c r="F102" s="4" t="str">
        <x:v>절곡/가공 도면 및 볼트 부품표 별도.</x:v>
      </x:c>
      <x:c r="G102" s="4" t="str">
        <x:v>사양·조달 보류</x:v>
      </x:c>
      <x:c r="H102" s="4" t="str">
        <x:v>https://github.com/JTech-CO/Smart-Cart/blob/2b4b8fea6909e4f76b4a52b02c5075c3f478097b/js/cart-model.js</x:v>
      </x:c>
    </x:row>
    <x:row r="103" ht="76" customHeight="1">
      <x:c r="A103" s="4" t="str">
        <x:v>G11</x:v>
      </x:c>
      <x:c r="B103" s="4" t="str">
        <x:v>보완/기구</x:v>
      </x:c>
      <x:c r="C103" s="4" t="str">
        <x:v>구동 휠 펜더</x:v>
      </x:c>
      <x:c r="D103" s="4" t="str">
        <x:v>타이어 간섭·손 끼임 방지</x:v>
      </x:c>
      <x:c r="E103" s="4" t="str">
        <x:v>3D 조립체 개수 / 치수 미확정</x:v>
      </x:c>
      <x:c r="F103" s="4" t="str">
        <x:v>시각화 모델 2개. 최종 형상/강성은 미확정.</x:v>
      </x:c>
      <x:c r="G103" s="4" t="str">
        <x:v>사양·조달 보류</x:v>
      </x:c>
      <x:c r="H103" s="4" t="str">
        <x:v>https://github.com/JTech-CO/Smart-Cart/blob/2b4b8fea6909e4f76b4a52b02c5075c3f478097b/js/cart-model.js</x:v>
      </x:c>
    </x:row>
    <x:row r="104" ht="76" customHeight="1">
      <x:c r="A104" s="4" t="str">
        <x:v>G12</x:v>
      </x:c>
      <x:c r="B104" s="4" t="str">
        <x:v>보완/기구</x:v>
      </x:c>
      <x:c r="C104" s="4" t="str">
        <x:v>배터리 보호 박스</x:v>
      </x:c>
      <x:c r="D104" s="4" t="str">
        <x:v>실제 E01 외형·통기·절연</x:v>
      </x:c>
      <x:c r="E104" s="4" t="str">
        <x:v>3D 조립체 개수 / 치수 미확정</x:v>
      </x:c>
      <x:c r="F104" s="4" t="str">
        <x:v>108Ah 팩이 기존 3D 박스에 들어간다고 가정하지 않음.</x:v>
      </x:c>
      <x:c r="G104" s="4" t="str">
        <x:v>사양·조달 보류</x:v>
      </x:c>
      <x:c r="H104" s="4" t="str">
        <x:v>https://github.com/JTech-CO/Smart-Cart/blob/2b4b8fea6909e4f76b4a52b02c5075c3f478097b/js/cart-model.js</x:v>
      </x:c>
    </x:row>
    <x:row r="105" ht="76" customHeight="1">
      <x:c r="A105" s="4" t="str">
        <x:v>G13</x:v>
      </x:c>
      <x:c r="B105" s="4" t="str">
        <x:v>보완/기구</x:v>
      </x:c>
      <x:c r="C105" s="4" t="str">
        <x:v>배터리 박스 뚜껑</x:v>
      </x:c>
      <x:c r="D105" s="4" t="str">
        <x:v>G12 전용</x:v>
      </x:c>
      <x:c r="E105" s="4" t="str">
        <x:v>3D 조립체 개수 / 치수 미확정</x:v>
      </x:c>
      <x:c r="F105" s="4" t="str">
        <x:v>G12 일체형 제품이면 차감.</x:v>
      </x:c>
      <x:c r="G105" s="4" t="str">
        <x:v>사양·조달 보류</x:v>
      </x:c>
      <x:c r="H105" s="4" t="str">
        <x:v>https://github.com/JTech-CO/Smart-Cart/blob/2b4b8fea6909e4f76b4a52b02c5075c3f478097b/js/cart-model.js</x:v>
      </x:c>
    </x:row>
    <x:row r="106" ht="76" customHeight="1">
      <x:c r="A106" s="4" t="str">
        <x:v>G14</x:v>
      </x:c>
      <x:c r="B106" s="4" t="str">
        <x:v>보완/기구</x:v>
      </x:c>
      <x:c r="C106" s="4" t="str">
        <x:v>배터리 고정 스트랩</x:v>
      </x:c>
      <x:c r="D106" s="4" t="str">
        <x:v>관성하중·장력·내마모</x:v>
      </x:c>
      <x:c r="E106" s="4" t="str">
        <x:v>3D 조립체 개수 / 치수 미확정</x:v>
      </x:c>
      <x:c r="F106" s="4" t="str">
        <x:v>3D 양쪽 스트랩2개. 적합 강도와 박스 체결 검증 필요.</x:v>
      </x:c>
      <x:c r="G106" s="4" t="str">
        <x:v>사양·조달 보류</x:v>
      </x:c>
      <x:c r="H106" s="4" t="str">
        <x:v>https://github.com/JTech-CO/Smart-Cart/blob/2b4b8fea6909e4f76b4a52b02c5075c3f478097b/js/cart-model.js</x:v>
      </x:c>
    </x:row>
    <x:row r="107" ht="76" customHeight="1">
      <x:c r="A107" s="4" t="str">
        <x:v>G15</x:v>
      </x:c>
      <x:c r="B107" s="4" t="str">
        <x:v>보완/기구</x:v>
      </x:c>
      <x:c r="C107" s="4" t="str">
        <x:v>전장 트레이/함체</x:v>
      </x:c>
      <x:c r="D107" s="4" t="str">
        <x:v>PCB·단자대 공간·통풍·서비스 간격</x:v>
      </x:c>
      <x:c r="E107" s="4" t="str">
        <x:v>3D 조립체 개수 / 치수 미확정</x:v>
      </x:c>
      <x:c r="F107" s="4" t="str">
        <x:v>기구 결합 시 판두께와 장착홀 실측.</x:v>
      </x:c>
      <x:c r="G107" s="4" t="str">
        <x:v>사양·조달 보류</x:v>
      </x:c>
      <x:c r="H107" s="4" t="str">
        <x:v>https://github.com/JTech-CO/Smart-Cart/blob/2b4b8fea6909e4f76b4a52b02c5075c3f478097b/js/cart-model.js</x:v>
      </x:c>
    </x:row>
    <x:row r="108" ht="76" customHeight="1">
      <x:c r="A108" s="4" t="str">
        <x:v>G16</x:v>
      </x:c>
      <x:c r="B108" s="4" t="str">
        <x:v>보완/기구</x:v>
      </x:c>
      <x:c r="C108" s="4" t="str">
        <x:v>전장 보호 커버</x:v>
      </x:c>
      <x:c r="D108" s="4" t="str">
        <x:v>G15 대응; 전력단자 접근 방지</x:v>
      </x:c>
      <x:c r="E108" s="4" t="str">
        <x:v>3D 조립체 개수 / 치수 미확정</x:v>
      </x:c>
      <x:c r="F108" s="4" t="str">
        <x:v>G15 완제품에 포함되면 차감.</x:v>
      </x:c>
      <x:c r="G108" s="4" t="str">
        <x:v>사양·조달 보류</x:v>
      </x:c>
      <x:c r="H108" s="4" t="str">
        <x:v>https://github.com/JTech-CO/Smart-Cart/blob/2b4b8fea6909e4f76b4a52b02c5075c3f478097b/js/cart-model.js</x:v>
      </x:c>
    </x:row>
    <x:row r="109" ht="76" customHeight="1">
      <x:c r="A109" s="4" t="str">
        <x:v>G17</x:v>
      </x:c>
      <x:c r="B109" s="4" t="str">
        <x:v>보완/기구</x:v>
      </x:c>
      <x:c r="C109" s="4" t="str">
        <x:v>LiDAR 장착 브래킷</x:v>
      </x:c>
      <x:c r="D109" s="4" t="str">
        <x:v>C1 스캔면과 차체 가림 최소화</x:v>
      </x:c>
      <x:c r="E109" s="4" t="str">
        <x:v>3D 조립체 개수 / 치수 미확정</x:v>
      </x:c>
      <x:c r="F109" s="4" t="str">
        <x:v>제조사 실제 체결홀로 도면 작성.</x:v>
      </x:c>
      <x:c r="G109" s="4" t="str">
        <x:v>사양·조달 보류</x:v>
      </x:c>
      <x:c r="H109" s="4" t="str">
        <x:v>https://github.com/JTech-CO/Smart-Cart/blob/2b4b8fea6909e4f76b4a52b02c5075c3f478097b/js/cart-model.js</x:v>
      </x:c>
    </x:row>
    <x:row r="110" ht="76" customHeight="1">
      <x:c r="A110" s="4" t="str">
        <x:v>G18</x:v>
      </x:c>
      <x:c r="B110" s="4" t="str">
        <x:v>보완/기구</x:v>
      </x:c>
      <x:c r="C110" s="4" t="str">
        <x:v>UWB 보호 하우징</x:v>
      </x:c>
      <x:c r="D110" s="4" t="str">
        <x:v>좌/우 베이스; RF 비차폐 위치</x:v>
      </x:c>
      <x:c r="E110" s="4" t="str">
        <x:v>3D 조립체 개수 / 치수 미확정</x:v>
      </x:c>
      <x:c r="F110" s="4" t="str">
        <x:v>금속 차폐/안테나 가림 피하고 실제 보드 외형 확인.</x:v>
      </x:c>
      <x:c r="G110" s="4" t="str">
        <x:v>사양·조달 보류</x:v>
      </x:c>
      <x:c r="H110" s="4" t="str">
        <x:v>https://github.com/JTech-CO/Smart-Cart/blob/2b4b8fea6909e4f76b4a52b02c5075c3f478097b/js/cart-model.js</x:v>
      </x:c>
    </x:row>
    <x:row r="111" ht="76" customHeight="1">
      <x:c r="A111" s="4" t="str">
        <x:v>G19</x:v>
      </x:c>
      <x:c r="B111" s="4" t="str">
        <x:v>보완/기구</x:v>
      </x:c>
      <x:c r="C111" s="4" t="str">
        <x:v>UWB 차체 장착 브래킷</x:v>
      </x:c>
      <x:c r="D111" s="4" t="str">
        <x:v>좌/우 기준 간격 고정</x:v>
      </x:c>
      <x:c r="E111" s="4" t="str">
        <x:v>3D 조립체 개수 / 치수 미확정</x:v>
      </x:c>
      <x:c r="F111" s="4" t="str">
        <x:v>하우징 일체형 장착부면 차감.</x:v>
      </x:c>
      <x:c r="G111" s="4" t="str">
        <x:v>사양·조달 보류</x:v>
      </x:c>
      <x:c r="H111" s="4" t="str">
        <x:v>https://github.com/JTech-CO/Smart-Cart/blob/2b4b8fea6909e4f76b4a52b02c5075c3f478097b/js/cart-model.js</x:v>
      </x:c>
    </x:row>
    <x:row r="112" ht="76" customHeight="1">
      <x:c r="A112" s="4" t="str">
        <x:v>G20</x:v>
      </x:c>
      <x:c r="B112" s="4" t="str">
        <x:v>보완/기구</x:v>
      </x:c>
      <x:c r="C112" s="4" t="str">
        <x:v>ToF 보호 하우징·마운트</x:v>
      </x:c>
      <x:c r="D112" s="4" t="str">
        <x:v>하향 좌/우 시야·바닥간격</x:v>
      </x:c>
      <x:c r="E112" s="4" t="str">
        <x:v>3D 조립체 개수 / 치수 미확정</x:v>
      </x:c>
      <x:c r="F112" s="4" t="str">
        <x:v>3D 개수2로 통합. 광학창/커버 적용 시 센서 교정 검토.</x:v>
      </x:c>
      <x:c r="G112" s="4" t="str">
        <x:v>사양·조달 보류</x:v>
      </x:c>
      <x:c r="H112" s="4" t="str">
        <x:v>https://github.com/JTech-CO/Smart-Cart/blob/2b4b8fea6909e4f76b4a52b02c5075c3f478097b/js/cart-model.js</x:v>
      </x:c>
    </x:row>
    <x:row r="113" ht="76" customHeight="1">
      <x:c r="A113" s="4" t="str">
        <x:v>G21</x:v>
      </x:c>
      <x:c r="B113" s="4" t="str">
        <x:v>보완/기구</x:v>
      </x:c>
      <x:c r="C113" s="4" t="str">
        <x:v>IMU 고정 브래킷</x:v>
      </x:c>
      <x:c r="D113" s="4" t="str">
        <x:v>차체 기준축에 강성 고정</x:v>
      </x:c>
      <x:c r="E113" s="4" t="str">
        <x:v>3D 조립체 개수 / 치수 미확정</x:v>
      </x:c>
      <x:c r="F113" s="4" t="str">
        <x:v>가동 손잡이나 유연한 케이블에 고정하지 않음.</x:v>
      </x:c>
      <x:c r="G113" s="4" t="str">
        <x:v>사양·조달 보류</x:v>
      </x:c>
      <x:c r="H113" s="4" t="str">
        <x:v>https://github.com/JTech-CO/Smart-Cart/blob/2b4b8fea6909e4f76b4a52b02c5075c3f478097b/js/cart-model.js</x:v>
      </x:c>
    </x:row>
    <x:row r="114" ht="76" customHeight="1">
      <x:c r="A114" s="4" t="str">
        <x:v>G22</x:v>
      </x:c>
      <x:c r="B114" s="4" t="str">
        <x:v>보완/기구</x:v>
      </x:c>
      <x:c r="C114" s="4" t="str">
        <x:v>사용자 태그 케이스·스트랩</x:v>
      </x:c>
      <x:c r="D114" s="4" t="str">
        <x:v>휴대·낙하보호·안테나</x:v>
      </x:c>
      <x:c r="E114" s="4" t="str">
        <x:v>3D 조립체 개수 / 치수 미확정</x:v>
      </x:c>
      <x:c r="F114" s="4" t="str">
        <x:v>태그 키트에 포함 시 차감.</x:v>
      </x:c>
      <x:c r="G114" s="4" t="str">
        <x:v>사양·조달 보류</x:v>
      </x:c>
      <x:c r="H114" s="4" t="str">
        <x:v>https://github.com/JTech-CO/Smart-Cart/blob/2b4b8fea6909e4f76b4a52b02c5075c3f478097b/js/cart-model.js</x:v>
      </x:c>
    </x:row>
    <x:row r="115" ht="76" customHeight="1">
      <x:c r="A115" s="4" t="str">
        <x:v>G23</x:v>
      </x:c>
      <x:c r="B115" s="4" t="str">
        <x:v>보완/기구</x:v>
      </x:c>
      <x:c r="C115" s="4" t="str">
        <x:v>비상정지·재무장 조작함</x:v>
      </x:c>
      <x:c r="D115" s="4" t="str">
        <x:v>S1/S2 접근·방수·배선 인출</x:v>
      </x:c>
      <x:c r="E115" s="4" t="str">
        <x:v>3D 조립체 개수 / 치수 미확정</x:v>
      </x:c>
      <x:c r="F115" s="4" t="str">
        <x:v>버튼과 박스 홀 지름 일치.</x:v>
      </x:c>
      <x:c r="G115" s="4" t="str">
        <x:v>사양·조달 보류</x:v>
      </x:c>
      <x:c r="H115" s="4" t="str">
        <x:v>https://github.com/JTech-CO/Smart-Cart/blob/2b4b8fea6909e4f76b4a52b02c5075c3f478097b/js/cart-model.js</x:v>
      </x:c>
    </x:row>
    <x:row r="116" ht="76" customHeight="1">
      <x:c r="A116" s="4" t="str">
        <x:v>G24</x:v>
      </x:c>
      <x:c r="B116" s="4" t="str">
        <x:v>보완/기구</x:v>
      </x:c>
      <x:c r="C116" s="4" t="str">
        <x:v>전면 범퍼</x:v>
      </x:c>
      <x:c r="D116" s="4" t="str">
        <x:v>차체 충격 완화·센서 가림 없음</x:v>
      </x:c>
      <x:c r="E116" s="4" t="str">
        <x:v>3D 조립체 개수 / 치수 미확정</x:v>
      </x:c>
      <x:c r="F116" s="4" t="str">
        <x:v>3D 표현 참조; 접촉식 안전장치와 동일하지 않음.</x:v>
      </x:c>
      <x:c r="G116" s="4" t="str">
        <x:v>사양·조달 보류</x:v>
      </x:c>
      <x:c r="H116" s="4" t="str">
        <x:v>https://github.com/JTech-CO/Smart-Cart/blob/2b4b8fea6909e4f76b4a52b02c5075c3f478097b/js/cart-model.js</x:v>
      </x:c>
    </x:row>
    <x:row r="117" ht="76" customHeight="1">
      <x:c r="A117" s="4" t="str">
        <x:v>G25</x:v>
      </x:c>
      <x:c r="B117" s="4" t="str">
        <x:v>보완/기구</x:v>
      </x:c>
      <x:c r="C117" s="4" t="str">
        <x:v>볼트·너트·와셔·스페이서</x:v>
      </x:c>
      <x:c r="D117" s="4" t="str">
        <x:v>체결홀/부재두께/강도등급별 분할 산출</x:v>
      </x:c>
      <x:c r="E117" s="4" t="str">
        <x:v>실물 체결표 필요</x:v>
      </x:c>
      <x:c r="F117" s="4" t="str">
        <x:v>시각화용 반복 볼트 메시를 구매 수량으로 세지 않음. 부품별 M2.5/M3/M6/M8 등 규격도 미확정.</x:v>
      </x:c>
      <x:c r="G117" s="4" t="str">
        <x:v>사양·조달 보류</x:v>
      </x:c>
      <x:c r="H117" s="4" t="str">
        <x:v>https://github.com/JTech-CO/Smart-Cart/blob/2b4b8fea6909e4f76b4a52b02c5075c3f478097b/js/cart-model.js</x:v>
      </x:c>
    </x:row>
    <x:row r="118" ht="76" customHeight="1">
      <x:c r="A118" s="4" t="str">
        <x:v>G26</x:v>
      </x:c>
      <x:c r="B118" s="4" t="str">
        <x:v>보완/기구</x:v>
      </x:c>
      <x:c r="C118" s="4" t="str">
        <x:v>프레임 코너·용접/절곡 재료</x:v>
      </x:c>
      <x:c r="D118" s="4" t="str">
        <x:v>기성대차 개조 방식에 따른 도면</x:v>
      </x:c>
      <x:c r="E118" s="4" t="str">
        <x:v>가공 도면 필요</x:v>
      </x:c>
      <x:c r="F118" s="4" t="str">
        <x:v>G01/G02 완제품 가공 견적에 포함되면 별도 자재 발주하지 않음.</x:v>
      </x:c>
      <x:c r="G118" s="4" t="str">
        <x:v>사양·조달 보류</x:v>
      </x:c>
      <x:c r="H118" s="4" t="str">
        <x:v>https://github.com/JTech-CO/Smart-Cart/blob/2b4b8fea6909e4f76b4a52b02c5075c3f478097b/js/cart-model.js</x:v>
      </x:c>
    </x:row>
    <x:row r="119" ht="76" customHeight="1">
      <x:c r="A119" s="4" t="str">
        <x:v>T01</x:v>
      </x:c>
      <x:c r="B119" s="4" t="str">
        <x:v>보완/기구</x:v>
      </x:c>
      <x:c r="C119" s="4" t="str">
        <x:v>SD 카드 리더</x:v>
      </x:c>
      <x:c r="D119" s="4" t="str">
        <x:v>microSD 대응</x:v>
      </x:c>
      <x:c r="E119" s="4" t="str">
        <x:v>벤치 도구</x:v>
      </x:c>
      <x:c r="F119" s="4" t="str">
        <x:v>메모리카드는 C12에 별도. 보유 공구이면 신규 구매0.</x:v>
      </x:c>
      <x:c r="G119" s="4" t="str">
        <x:v>국내출고 재확인</x:v>
      </x:c>
      <x:c r="H119" s="4" t="str">
        <x:v>https://github.com/JTech-CO/Smart-Cart-Wiring/blob/3ac3f1d793caba6494d27df6f0b9ba2eee8606d5/docs/ASSEMBLY-KR.md</x:v>
      </x:c>
    </x:row>
    <x:row r="120" ht="76" customHeight="1">
      <x:c r="A120" s="4" t="str">
        <x:v>T02</x:v>
      </x:c>
      <x:c r="B120" s="4" t="str">
        <x:v>보완/기구</x:v>
      </x:c>
      <x:c r="C120" s="4" t="str">
        <x:v>전류 제한 DC 실험실 전원</x:v>
      </x:c>
      <x:c r="D120" s="4" t="str">
        <x:v>회로별 필요한 전압/전류; 초기 모듈 시험용</x:v>
      </x:c>
      <x:c r="E120" s="4" t="str">
        <x:v>벤치 시험 도구</x:v>
      </x:c>
      <x:c r="F120" s="4" t="str">
        <x:v>기존 실험실 장비 우선 사용. 카트 실장 부품으로 합산하지 않음.</x:v>
      </x:c>
      <x:c r="G120" s="4" t="str">
        <x:v>사양·조달 보류</x:v>
      </x:c>
      <x:c r="H120" s="4" t="str">
        <x:v>https://github.com/JTech-CO/Smart-Cart-Wiring/blob/3ac3f1d793caba6494d27df6f0b9ba2eee8606d5/docs/ASSEMBLY-KR.md</x:v>
      </x:c>
    </x:row>
    <x:row r="121" ht="76" customHeight="1">
      <x:c r="A121" s="4" t="str">
        <x:v>T03</x:v>
      </x:c>
      <x:c r="B121" s="4" t="str">
        <x:v>보완/기구</x:v>
      </x:c>
      <x:c r="C121" s="4" t="str">
        <x:v>디지털 멀티미터</x:v>
      </x:c>
      <x:c r="D121" s="4" t="str">
        <x:v>DC전압·도통; 퓨즈 보호 입력</x:v>
      </x:c>
      <x:c r="E121" s="4" t="str">
        <x:v>벤치 시험 도구</x:v>
      </x:c>
      <x:c r="F121" s="4" t="str">
        <x:v>기존 실험실 장비 우선 사용. 카트 실장 부품으로 합산하지 않음.</x:v>
      </x:c>
      <x:c r="G121" s="4" t="str">
        <x:v>사양·조달 보류</x:v>
      </x:c>
      <x:c r="H121" s="4" t="str">
        <x:v>https://github.com/JTech-CO/Smart-Cart-Wiring/blob/3ac3f1d793caba6494d27df6f0b9ba2eee8606d5/docs/ASSEMBLY-KR.md</x:v>
      </x:c>
    </x:row>
    <x:row r="122" ht="76" customHeight="1">
      <x:c r="A122" s="4" t="str">
        <x:v>T04</x:v>
      </x:c>
      <x:c r="B122" s="4" t="str">
        <x:v>보완/기구</x:v>
      </x:c>
      <x:c r="C122" s="4" t="str">
        <x:v>DC 전류 클램프</x:v>
      </x:c>
      <x:c r="D122" s="4" t="str">
        <x:v>기동전류 측정 범위/대역폭</x:v>
      </x:c>
      <x:c r="E122" s="4" t="str">
        <x:v>벤치 시험 도구</x:v>
      </x:c>
      <x:c r="F122" s="4" t="str">
        <x:v>기존 실험실 장비 우선 사용. 카트 실장 부품으로 합산하지 않음.</x:v>
      </x:c>
      <x:c r="G122" s="4" t="str">
        <x:v>사양·조달 보류</x:v>
      </x:c>
      <x:c r="H122" s="4" t="str">
        <x:v>https://github.com/JTech-CO/Smart-Cart-Wiring/blob/3ac3f1d793caba6494d27df6f0b9ba2eee8606d5/docs/ASSEMBLY-KR.md</x:v>
      </x:c>
    </x:row>
    <x:row r="123" ht="76" customHeight="1">
      <x:c r="A123" s="4" t="str">
        <x:v>T05</x:v>
      </x:c>
      <x:c r="B123" s="4" t="str">
        <x:v>보완/기구</x:v>
      </x:c>
      <x:c r="C123" s="4" t="str">
        <x:v>압착 공구·스트리퍼</x:v>
      </x:c>
      <x:c r="D123" s="4" t="str">
        <x:v>선정 러그·페룰·접점에 맞는 다이</x:v>
      </x:c>
      <x:c r="E123" s="4" t="str">
        <x:v>벤치 시험 도구</x:v>
      </x:c>
      <x:c r="F123" s="4" t="str">
        <x:v>기존 실험실 장비 우선 사용. 카트 실장 부품으로 합산하지 않음.</x:v>
      </x:c>
      <x:c r="G123" s="4" t="str">
        <x:v>사양·조달 보류</x:v>
      </x:c>
      <x:c r="H123" s="4" t="str">
        <x:v>https://github.com/JTech-CO/Smart-Cart-Wiring/blob/3ac3f1d793caba6494d27df6f0b9ba2eee8606d5/docs/ASSEMBLY-KR.md</x:v>
      </x:c>
    </x:row>
    <x:row r="124" ht="76" customHeight="1">
      <x:c r="A124" s="4" t="str">
        <x:v>T06</x:v>
      </x:c>
      <x:c r="B124" s="4" t="str">
        <x:v>보완/기구</x:v>
      </x:c>
      <x:c r="C124" s="4" t="str">
        <x:v>인두·납땜 안전 거치대</x:v>
      </x:c>
      <x:c r="D124" s="4" t="str">
        <x:v>헤더 조립 및 환기</x:v>
      </x:c>
      <x:c r="E124" s="4" t="str">
        <x:v>벤치 시험 도구</x:v>
      </x:c>
      <x:c r="F124" s="4" t="str">
        <x:v>기존 실험실 장비 우선 사용. 카트 실장 부품으로 합산하지 않음.</x:v>
      </x:c>
      <x:c r="G124" s="4" t="str">
        <x:v>사양·조달 보류</x:v>
      </x:c>
      <x:c r="H124" s="4" t="str">
        <x:v>https://github.com/JTech-CO/Smart-Cart-Wiring/blob/3ac3f1d793caba6494d27df6f0b9ba2eee8606d5/docs/ASSEMBLY-KR.md</x:v>
      </x:c>
    </x:row>
    <x:row r="125" ht="76" customHeight="1">
      <x:c r="A125" s="4" t="str">
        <x:v>T07</x:v>
      </x:c>
      <x:c r="B125" s="4" t="str">
        <x:v>보완/기구</x:v>
      </x:c>
      <x:c r="C125" s="4" t="str">
        <x:v>오실로스코프·차동 측정 구성</x:v>
      </x:c>
      <x:c r="D125" s="4" t="str">
        <x:v>H브리지 접지단락 방지; 적합 정격</x:v>
      </x:c>
      <x:c r="E125" s="4" t="str">
        <x:v>벤치 시험 도구</x:v>
      </x:c>
      <x:c r="F125" s="4" t="str">
        <x:v>기존 실험실 장비 우선 사용. 카트 실장 부품으로 합산하지 않음.</x:v>
      </x:c>
      <x:c r="G125" s="4" t="str">
        <x:v>사양·조달 보류</x:v>
      </x:c>
      <x:c r="H125" s="4" t="str">
        <x:v>https://github.com/JTech-CO/Smart-Cart-Wiring/blob/3ac3f1d793caba6494d27df6f0b9ba2eee8606d5/docs/ASSEMBLY-KR.md</x:v>
      </x:c>
    </x:row>
    <x:row r="126" ht="76" customHeight="1">
      <x:c r="A126" s="4" t="str">
        <x:v>T08</x:v>
      </x:c>
      <x:c r="B126" s="4" t="str">
        <x:v>보완/기구</x:v>
      </x:c>
      <x:c r="C126" s="4" t="str">
        <x:v>22AWG 벤치 배선 여분</x:v>
      </x:c>
      <x:c r="D126" s="4" t="str">
        <x:v>빨강/검정/기타 각1m 선택</x:v>
      </x:c>
      <x:c r="E126" s="4" t="str">
        <x:v>벤치 재료 제안</x:v>
      </x:c>
      <x:c r="F126" s="4" t="str">
        <x:v>3m는 같은 색 3m가 아니라 색상별1m 계획. 전력배선/주행용 연선 대체 아님.</x:v>
      </x:c>
      <x:c r="G126" s="4" t="str">
        <x:v>국내출고·옵션 확인</x:v>
      </x:c>
      <x:c r="H126" s="4" t="str">
        <x:v>https://github.com/JTech-CO/Smart-Cart-Wiring/blob/3ac3f1d793caba6494d27df6f0b9ba2eee8606d5/docs/ASSEMBLY-KR.md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c2e2c30458b242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0" hidden="0" customWidth="1"/>
    <x:col min="4" max="4" width="11" hidden="0" customWidth="1"/>
    <x:col min="5" max="5" width="16" hidden="0" customWidth="1"/>
    <x:col min="6" max="6" width="28" hidden="0" customWidth="1"/>
    <x:col min="7" max="7" width="8" hidden="0" customWidth="1"/>
    <x:col min="8" max="8" width="13" hidden="0" customWidth="1"/>
    <x:col min="9" max="9" width="45" hidden="0" customWidth="1"/>
    <x:col min="10" max="10" width="55" hidden="0" customWidth="1"/>
    <x:col min="11" max="11" width="15" hidden="0" customWidth="1"/>
    <x:col min="12" max="12" width="48" hidden="0" customWidth="1"/>
  </x:cols>
  <x:sheetData>
    <x:row r="1" ht="22" customHeight="1">
      <x:c r="A1" s="9" t="str">
        <x:v>국내 출고 구매 링크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32" customHeight="1">
      <x:c r="A3" s="12" t="str">
        <x:v>A=국내 재고 수량 표시 / B=국내 택배·픽업 안내, 수량 비공개. 해외 발주 전환은 수락하지 않습니다.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4" customHeight="1">
      <x:c r="A5" s="15" t="str">
        <x:v>코드</x:v>
      </x:c>
      <x:c r="B5" s="15" t="str">
        <x:v>판매처</x:v>
      </x:c>
      <x:c r="C5" s="15" t="str">
        <x:v>실제 상품</x:v>
      </x:c>
      <x:c r="D5" s="15" t="str">
        <x:v>포장 수량</x:v>
      </x:c>
      <x:c r="E5" s="15" t="str">
        <x:v>표시가(원)</x:v>
      </x:c>
      <x:c r="F5" s="15" t="str">
        <x:v>VAT 표기</x:v>
      </x:c>
      <x:c r="G5" s="15" t="str">
        <x:v>등급</x:v>
      </x:c>
      <x:c r="H5" s="15" t="str">
        <x:v>표시 국내재고</x:v>
      </x:c>
      <x:c r="I5" s="15" t="str">
        <x:v>국내 출고 근거</x:v>
      </x:c>
      <x:c r="J5" s="15" t="str">
        <x:v>구매 조건</x:v>
      </x:c>
      <x:c r="K5" s="15" t="str">
        <x:v>조회일</x:v>
      </x:c>
      <x:c r="L5" s="15" t="str">
        <x:v>구매 URL</x:v>
      </x:c>
    </x:row>
    <x:row r="6" ht="85" customHeight="1">
      <x:c r="A6" s="4" t="str">
        <x:v>P01</x:v>
      </x:c>
      <x:c r="B6" s="4" t="str">
        <x:v>로봇사이언스</x:v>
      </x:c>
      <x:c r="C6" s="4" t="str">
        <x:v>BNO085 Adafruit #4754</x:v>
      </x:c>
      <x:c r="D6" s="4" t="n">
        <x:v>1</x:v>
      </x:c>
      <x:c r="E6" s="34" t="n">
        <x:v>53800</x:v>
      </x:c>
      <x:c r="F6" s="4" t="str">
        <x:v>VAT 포함</x:v>
      </x:c>
      <x:c r="G6" s="4" t="str">
        <x:v>A</x:v>
      </x:c>
      <x:c r="H6" s="4" t="n">
        <x:v>16</x:v>
      </x:c>
      <x:c r="I6" s="4" t="str">
        <x:v>상품 페이지 국내재고 16개 표시; 매장픽업 제공</x:v>
      </x:c>
      <x:c r="J6" s="4" t="str">
        <x:v>국내 수량만 주문. 부족분 해외 조달/통관 전환을 수락하지 말 것.</x:v>
      </x:c>
      <x:c r="K6" s="36" t="n">
        <x:v>46278</x:v>
      </x:c>
      <x:c r="L6" s="4" t="str">
        <x:v>https://robotscience.kr/goods/view?no=15723</x:v>
      </x:c>
    </x:row>
    <x:row r="7" ht="85" customHeight="1">
      <x:c r="A7" s="4" t="str">
        <x:v>P02</x:v>
      </x:c>
      <x:c r="B7" s="4" t="str">
        <x:v>로봇사이언스</x:v>
      </x:c>
      <x:c r="C7" s="4" t="str">
        <x:v>VL53L1X Pololu #3415</x:v>
      </x:c>
      <x:c r="D7" s="4" t="n">
        <x:v>1</x:v>
      </x:c>
      <x:c r="E7" s="34" t="n">
        <x:v>41300</x:v>
      </x:c>
      <x:c r="F7" s="4" t="str">
        <x:v>VAT 포함</x:v>
      </x:c>
      <x:c r="G7" s="4" t="str">
        <x:v>A</x:v>
      </x:c>
      <x:c r="H7" s="4" t="n">
        <x:v>4</x:v>
      </x:c>
      <x:c r="I7" s="4" t="str">
        <x:v>상품 페이지 국내재고 4개 표시; 매장픽업 제공</x:v>
      </x:c>
      <x:c r="J7" s="4" t="str">
        <x:v>통합 필요 2 + 예비 1 = 3개. 페이지 수량은 예약·실시간 확정이 아님.</x:v>
      </x:c>
      <x:c r="K7" s="36" t="n">
        <x:v>46278</x:v>
      </x:c>
      <x:c r="L7" s="4" t="str">
        <x:v>https://robotscience.kr/goods/view?no=19458</x:v>
      </x:c>
    </x:row>
    <x:row r="8" ht="85" customHeight="1">
      <x:c r="A8" s="4" t="str">
        <x:v>P03</x:v>
      </x:c>
      <x:c r="B8" s="4" t="str">
        <x:v>로봇사이언스</x:v>
      </x:c>
      <x:c r="C8" s="4" t="str">
        <x:v>PCA9548 I2C 멀티플렉서 Adafruit #5626</x:v>
      </x:c>
      <x:c r="D8" s="4" t="n">
        <x:v>1</x:v>
      </x:c>
      <x:c r="E8" s="34" t="n">
        <x:v>16700</x:v>
      </x:c>
      <x:c r="F8" s="4" t="str">
        <x:v>VAT 포함</x:v>
      </x:c>
      <x:c r="G8" s="4" t="str">
        <x:v>A</x:v>
      </x:c>
      <x:c r="H8" s="4" t="n">
        <x:v>9</x:v>
      </x:c>
      <x:c r="I8" s="4" t="str">
        <x:v>상품 페이지 국내재고 9개 표시</x:v>
      </x:c>
      <x:c r="J8" s="4" t="str">
        <x:v>신규 ToF 보완안. 하위 JST-SH 4핀 케이블은 별도. 회로·소프트웨어 변경 후 채택.</x:v>
      </x:c>
      <x:c r="K8" s="36" t="n">
        <x:v>46278</x:v>
      </x:c>
      <x:c r="L8" s="4" t="str">
        <x:v>https://robotscience.kr/goods/view?no=20126</x:v>
      </x:c>
    </x:row>
    <x:row r="9" ht="85" customHeight="1">
      <x:c r="A9" s="4" t="str">
        <x:v>P04</x:v>
      </x:c>
      <x:c r="B9" s="4" t="str">
        <x:v>에듀이노</x:v>
      </x:c>
      <x:c r="C9" s="4" t="str">
        <x:v>SLAMTEC RPLIDAR C1 / P-T410</x:v>
      </x:c>
      <x:c r="D9" s="4" t="n">
        <x:v>1</x:v>
      </x:c>
      <x:c r="E9" s="34" t="n">
        <x:v>112500</x:v>
      </x:c>
      <x:c r="F9" s="4" t="str">
        <x:v>표시가 / VAT 포함 여부 재확인</x:v>
      </x:c>
      <x:c r="G9" s="4" t="str">
        <x:v>B</x:v>
      </x:c>
      <x:c r="H9" s="4"/>
      <x:c r="I9" s="4" t="str">
        <x:v>국내배송·전국 택배·배송 1~2일 안내</x:v>
      </x:c>
      <x:c r="J9" s="4" t="str">
        <x:v>재고 개수 비공개. 정품 USB 어댑터/센서 하네스 동봉 수량과 국내 보유분 출고를 확인.</x:v>
      </x:c>
      <x:c r="K9" s="36" t="n">
        <x:v>46278</x:v>
      </x:c>
      <x:c r="L9" s="4" t="str">
        <x:v>https://eduino.kr/product/detail.html?product_no=9805</x:v>
      </x:c>
    </x:row>
    <x:row r="10" ht="85" customHeight="1">
      <x:c r="A10" s="4" t="str">
        <x:v>P05</x:v>
      </x:c>
      <x:c r="B10" s="4" t="str">
        <x:v>제노몰</x:v>
      </x:c>
      <x:c r="C10" s="4" t="str">
        <x:v>400접점 브레드보드 HCM1203</x:v>
      </x:c>
      <x:c r="D10" s="4" t="n">
        <x:v>1</x:v>
      </x:c>
      <x:c r="E10" s="34" t="n">
        <x:v>900</x:v>
      </x:c>
      <x:c r="F10" s="4" t="str">
        <x:v>표시가 / VAT 포함 여부 재확인</x:v>
      </x:c>
      <x:c r="G10" s="4" t="str">
        <x:v>B</x:v>
      </x:c>
      <x:c r="H10" s="4"/>
      <x:c r="I10" s="4" t="str">
        <x:v>국내 매장 방문수령 및 평일 14시 이전 출고 안내; 품절 예외</x:v>
      </x:c>
      <x:c r="J10" s="4" t="str">
        <x:v>실물 30열 본체와 각 25접점 전원 레일의 도통을 검사. 차량 최종 배선용 아님.</x:v>
      </x:c>
      <x:c r="K10" s="36" t="n">
        <x:v>46278</x:v>
      </x:c>
      <x:c r="L10" s="4" t="str">
        <x:v>https://www.jenomall.com/goods/goods_view.php?goodsNo=1000012080</x:v>
      </x:c>
    </x:row>
    <x:row r="11" ht="85" customHeight="1">
      <x:c r="A11" s="4" t="str">
        <x:v>P06</x:v>
      </x:c>
      <x:c r="B11" s="4" t="str">
        <x:v>제노몰</x:v>
      </x:c>
      <x:c r="C11" s="4" t="str">
        <x:v>M-F 점퍼 20cm / 40가닥 HCM2701</x:v>
      </x:c>
      <x:c r="D11" s="4" t="n">
        <x:v>40</x:v>
      </x:c>
      <x:c r="E11" s="34" t="n">
        <x:v>900</x:v>
      </x:c>
      <x:c r="F11" s="4" t="str">
        <x:v>표시가 / VAT 포함 여부 재확인</x:v>
      </x:c>
      <x:c r="G11" s="4" t="str">
        <x:v>B</x:v>
      </x:c>
      <x:c r="H11" s="4"/>
      <x:c r="I11" s="4" t="str">
        <x:v>국내 방문수령·평일 출고 안내; 재고 개수 비공개</x:v>
      </x:c>
      <x:c r="J11" s="4" t="str">
        <x:v>1묶음은 40가닥. 20cm는 책상 위 배치용; 카트 센서까지 길이 보장 안 됨.</x:v>
      </x:c>
      <x:c r="K11" s="36" t="n">
        <x:v>46278</x:v>
      </x:c>
      <x:c r="L11" s="4" t="str">
        <x:v>https://www.jenomall.com/goods/goods_view.php?goodsNo=1000012459</x:v>
      </x:c>
    </x:row>
    <x:row r="12" ht="85" customHeight="1">
      <x:c r="A12" s="4" t="str">
        <x:v>P07</x:v>
      </x:c>
      <x:c r="B12" s="4" t="str">
        <x:v>제노몰</x:v>
      </x:c>
      <x:c r="C12" s="4" t="str">
        <x:v>M-M 점퍼 20cm / 40가닥 HCM2702</x:v>
      </x:c>
      <x:c r="D12" s="4" t="n">
        <x:v>40</x:v>
      </x:c>
      <x:c r="E12" s="34" t="n">
        <x:v>1000</x:v>
      </x:c>
      <x:c r="F12" s="4" t="str">
        <x:v>표시가 / VAT 포함 여부 재확인</x:v>
      </x:c>
      <x:c r="G12" s="4" t="str">
        <x:v>B</x:v>
      </x:c>
      <x:c r="H12" s="4"/>
      <x:c r="I12" s="4" t="str">
        <x:v>국내 방문수령·평일 출고 안내; 재고 개수 비공개</x:v>
      </x:c>
      <x:c r="J12" s="4" t="str">
        <x:v>원본 내부 점퍼 9개. 묶음 구매 후 필요한 개수만 분리.</x:v>
      </x:c>
      <x:c r="K12" s="36" t="n">
        <x:v>46278</x:v>
      </x:c>
      <x:c r="L12" s="4" t="str">
        <x:v>https://www.jenomall.com/goods/goods_view.php?goodsNo=1000012462</x:v>
      </x:c>
    </x:row>
    <x:row r="13" ht="85" customHeight="1">
      <x:c r="A13" s="4" t="str">
        <x:v>P08</x:v>
      </x:c>
      <x:c r="B13" s="4" t="str">
        <x:v>제노몰</x:v>
      </x:c>
      <x:c r="C13" s="4" t="str">
        <x:v>F-F 점퍼 20cm / 40가닥 HCM2703</x:v>
      </x:c>
      <x:c r="D13" s="4" t="n">
        <x:v>40</x:v>
      </x:c>
      <x:c r="E13" s="34" t="n">
        <x:v>900</x:v>
      </x:c>
      <x:c r="F13" s="4" t="str">
        <x:v>표시가 / VAT 포함 여부 재확인</x:v>
      </x:c>
      <x:c r="G13" s="4" t="str">
        <x:v>B</x:v>
      </x:c>
      <x:c r="H13" s="4"/>
      <x:c r="I13" s="4" t="str">
        <x:v>국내 방문수령·평일 출고 안내; 재고 개수 비공개</x:v>
      </x:c>
      <x:c r="J13" s="4" t="str">
        <x:v>최종 잠금형 차량 하네스의 대체품으로 사용하지 않음.</x:v>
      </x:c>
      <x:c r="K13" s="36" t="n">
        <x:v>46278</x:v>
      </x:c>
      <x:c r="L13" s="4" t="str">
        <x:v>https://www.jenomall.com/goods/goods_view.php?goodsNo=1000012463</x:v>
      </x:c>
    </x:row>
    <x:row r="14" ht="85" customHeight="1">
      <x:c r="A14" s="4" t="str">
        <x:v>P09</x:v>
      </x:c>
      <x:c r="B14" s="4" t="str">
        <x:v>에듀이노</x:v>
      </x:c>
      <x:c r="C14" s="4" t="str">
        <x:v>1kΩ 0.25W 5% 저항 10개</x:v>
      </x:c>
      <x:c r="D14" s="4" t="n">
        <x:v>10</x:v>
      </x:c>
      <x:c r="E14" s="34" t="n">
        <x:v>330</x:v>
      </x:c>
      <x:c r="F14" s="4" t="str">
        <x:v>표시가 / VAT 포함 여부 재확인</x:v>
      </x:c>
      <x:c r="G14" s="4" t="str">
        <x:v>B</x:v>
      </x:c>
      <x:c r="H14" s="4"/>
      <x:c r="I14" s="4" t="str">
        <x:v>국내배송·택배·1~2일 안내</x:v>
      </x:c>
      <x:c r="J14" s="4" t="str">
        <x:v>R1/R2용 축형 리드 저항. 10개 1봉.</x:v>
      </x:c>
      <x:c r="K14" s="36" t="n">
        <x:v>46278</x:v>
      </x:c>
      <x:c r="L14" s="4" t="str">
        <x:v>https://eduino.kr/product/detail.html?product_no=349</x:v>
      </x:c>
    </x:row>
    <x:row r="15" ht="85" customHeight="1">
      <x:c r="A15" s="4" t="str">
        <x:v>P10</x:v>
      </x:c>
      <x:c r="B15" s="4" t="str">
        <x:v>에듀이노</x:v>
      </x:c>
      <x:c r="C15" s="4" t="str">
        <x:v>220Ω 0.25W 5% 저항 10개</x:v>
      </x:c>
      <x:c r="D15" s="4" t="n">
        <x:v>10</x:v>
      </x:c>
      <x:c r="E15" s="34" t="n">
        <x:v>330</x:v>
      </x:c>
      <x:c r="F15" s="4" t="str">
        <x:v>표시가 / VAT 포함 여부 재확인</x:v>
      </x:c>
      <x:c r="G15" s="4" t="str">
        <x:v>B</x:v>
      </x:c>
      <x:c r="H15" s="4"/>
      <x:c r="I15" s="4" t="str">
        <x:v>국내배송·택배·1~2일 안내</x:v>
      </x:c>
      <x:c r="J15" s="4" t="str">
        <x:v>조향 옵션 R3/R4. 10개 1봉.</x:v>
      </x:c>
      <x:c r="K15" s="36" t="n">
        <x:v>46278</x:v>
      </x:c>
      <x:c r="L15" s="4" t="str">
        <x:v>https://eduino.kr/product/detail.html?product_no=348</x:v>
      </x:c>
    </x:row>
    <x:row r="16" ht="85" customHeight="1">
      <x:c r="A16" s="4" t="str">
        <x:v>P11</x:v>
      </x:c>
      <x:c r="B16" s="4" t="str">
        <x:v>에듀이노</x:v>
      </x:c>
      <x:c r="C16" s="4" t="str">
        <x:v>10kΩ 0.25W 5% 저항 10개</x:v>
      </x:c>
      <x:c r="D16" s="4" t="n">
        <x:v>10</x:v>
      </x:c>
      <x:c r="E16" s="34" t="n">
        <x:v>330</x:v>
      </x:c>
      <x:c r="F16" s="4" t="str">
        <x:v>표시가 / VAT 포함 여부 재확인</x:v>
      </x:c>
      <x:c r="G16" s="4" t="str">
        <x:v>B</x:v>
      </x:c>
      <x:c r="H16" s="4"/>
      <x:c r="I16" s="4" t="str">
        <x:v>국내배송·택배·1~2일 안내</x:v>
      </x:c>
      <x:c r="J16" s="4" t="str">
        <x:v>조향 옵션 R5/R6. 10개 1봉.</x:v>
      </x:c>
      <x:c r="K16" s="36" t="n">
        <x:v>46278</x:v>
      </x:c>
      <x:c r="L16" s="4" t="str">
        <x:v>https://eduino.kr/product/detail.html?product_no=588</x:v>
      </x:c>
    </x:row>
    <x:row r="17" ht="85" customHeight="1">
      <x:c r="A17" s="4" t="str">
        <x:v>P12</x:v>
      </x:c>
      <x:c r="B17" s="4" t="str">
        <x:v>에듀이노</x:v>
      </x:c>
      <x:c r="C17" s="4" t="str">
        <x:v>USB 2.0 C타입 1m 데이터+충전 E-86</x:v>
      </x:c>
      <x:c r="D17" s="4" t="n">
        <x:v>1</x:v>
      </x:c>
      <x:c r="E17" s="34" t="n">
        <x:v>3300</x:v>
      </x:c>
      <x:c r="F17" s="4" t="str">
        <x:v>표시가 / VAT 포함 여부 재확인</x:v>
      </x:c>
      <x:c r="G17" s="4" t="str">
        <x:v>B</x:v>
      </x:c>
      <x:c r="H17" s="4"/>
      <x:c r="I17" s="4" t="str">
        <x:v>국내배송·택배·1~2일 안내</x:v>
      </x:c>
      <x:c r="J17" s="4" t="str">
        <x:v>주문 전 호스트 쪽 A 수단자 확인. UWB와 태그용; SBC 3A 급전선으로 일괄 승인하지 않음.</x:v>
      </x:c>
      <x:c r="K17" s="36" t="n">
        <x:v>46278</x:v>
      </x:c>
      <x:c r="L17" s="4" t="str">
        <x:v>https://eduino.kr/product/detail.html?product_no=10002</x:v>
      </x:c>
    </x:row>
    <x:row r="18" ht="85" customHeight="1">
      <x:c r="A18" s="4" t="str">
        <x:v>P13</x:v>
      </x:c>
      <x:c r="B18" s="4" t="str">
        <x:v>에듀이노</x:v>
      </x:c>
      <x:c r="C18" s="4" t="str">
        <x:v>Micro USB 데이터 케이블 50cm</x:v>
      </x:c>
      <x:c r="D18" s="4" t="n">
        <x:v>1</x:v>
      </x:c>
      <x:c r="E18" s="34" t="n">
        <x:v>1000</x:v>
      </x:c>
      <x:c r="F18" s="4" t="str">
        <x:v>표시가 / VAT 포함 여부 재확인</x:v>
      </x:c>
      <x:c r="G18" s="4" t="str">
        <x:v>B</x:v>
      </x:c>
      <x:c r="H18" s="4"/>
      <x:c r="I18" s="4" t="str">
        <x:v>국내배송·택배 안내</x:v>
      </x:c>
      <x:c r="J18" s="4" t="str">
        <x:v>ESP32-DevKitC V4 micro-B와 호스트 A 확인. 충전 전용 제품 제외.</x:v>
      </x:c>
      <x:c r="K18" s="36" t="n">
        <x:v>46278</x:v>
      </x:c>
      <x:c r="L18" s="4" t="str">
        <x:v>https://eduino.kr/product/detail.html?product_no=97</x:v>
      </x:c>
    </x:row>
    <x:row r="19" ht="85" customHeight="1">
      <x:c r="A19" s="4" t="str">
        <x:v>P14</x:v>
      </x:c>
      <x:c r="B19" s="4" t="str">
        <x:v>에듀이노</x:v>
      </x:c>
      <x:c r="C19" s="4" t="str">
        <x:v>6mm 스파이럴 케이블 랩 2m</x:v>
      </x:c>
      <x:c r="D19" s="4" t="n">
        <x:v>2</x:v>
      </x:c>
      <x:c r="E19" s="34" t="n">
        <x:v>3300</x:v>
      </x:c>
      <x:c r="F19" s="4" t="str">
        <x:v>표시가 / VAT 포함 여부 재확인</x:v>
      </x:c>
      <x:c r="G19" s="4" t="str">
        <x:v>B</x:v>
      </x:c>
      <x:c r="H19" s="4"/>
      <x:c r="I19" s="4" t="str">
        <x:v>국내배송·택배 안내</x:v>
      </x:c>
      <x:c r="J19" s="4" t="str">
        <x:v>2m당 표시가. 지름 6mm는 센서 소선 묶음용 후보; 실제 번들 지름 확인.</x:v>
      </x:c>
      <x:c r="K19" s="36" t="n">
        <x:v>46278</x:v>
      </x:c>
      <x:c r="L19" s="4" t="str">
        <x:v>https://eduino.kr/product/detail.html?product_no=5881</x:v>
      </x:c>
    </x:row>
    <x:row r="20" ht="85" customHeight="1">
      <x:c r="A20" s="4" t="str">
        <x:v>P15</x:v>
      </x:c>
      <x:c r="B20" s="4" t="str">
        <x:v>에듀이노</x:v>
      </x:c>
      <x:c r="C20" s="4" t="str">
        <x:v>브레드보드 배선용 단선 22AWG / 1m</x:v>
      </x:c>
      <x:c r="D20" s="4" t="n">
        <x:v>1</x:v>
      </x:c>
      <x:c r="E20" s="34" t="n">
        <x:v>1100</x:v>
      </x:c>
      <x:c r="F20" s="4" t="str">
        <x:v>표시가 / VAT 포함 여부 재확인</x:v>
      </x:c>
      <x:c r="G20" s="4" t="str">
        <x:v>B</x:v>
      </x:c>
      <x:c r="H20" s="4"/>
      <x:c r="I20" s="4" t="str">
        <x:v>국내배송·택배 안내</x:v>
      </x:c>
      <x:c r="J20" s="4" t="str">
        <x:v>벤치 저전류용 추가 재료. 색상 지정. 배터리·모터 및 진동하는 차량 전력선에 사용 금지.</x:v>
      </x:c>
      <x:c r="K20" s="36" t="n">
        <x:v>46278</x:v>
      </x:c>
      <x:c r="L20" s="4" t="str">
        <x:v>https://eduino.kr/product/detail.html?product_no=257</x:v>
      </x:c>
    </x:row>
    <x:row r="21" ht="85" customHeight="1">
      <x:c r="A21" s="4" t="str">
        <x:v>P16</x:v>
      </x:c>
      <x:c r="B21" s="4" t="str">
        <x:v>에듀이노</x:v>
      </x:c>
      <x:c r="C21" s="4" t="str">
        <x:v>마이크로 SD 카드 리더기</x:v>
      </x:c>
      <x:c r="D21" s="4" t="n">
        <x:v>1</x:v>
      </x:c>
      <x:c r="E21" s="34" t="n">
        <x:v>990</x:v>
      </x:c>
      <x:c r="F21" s="4" t="str">
        <x:v>표시가 / VAT 포함 여부 재확인</x:v>
      </x:c>
      <x:c r="G21" s="4" t="str">
        <x:v>B</x:v>
      </x:c>
      <x:c r="H21" s="4"/>
      <x:c r="I21" s="4" t="str">
        <x:v>국내배송·택배 안내</x:v>
      </x:c>
      <x:c r="J21" s="4" t="str">
        <x:v>벤치 공구. SD 메모리카드가 포함된 것으로 계산하지 않음.</x:v>
      </x:c>
      <x:c r="K21" s="36" t="n">
        <x:v>46278</x:v>
      </x:c>
      <x:c r="L21" s="4" t="str">
        <x:v>https://eduino.kr/product/detail.html?product_no=9423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4497392b978146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9" hidden="0" customWidth="1"/>
    <x:col min="4" max="4" width="42" hidden="0" customWidth="1"/>
    <x:col min="5" max="5" width="24" hidden="0" customWidth="1"/>
    <x:col min="6" max="6" width="65" hidden="0" customWidth="1"/>
  </x:cols>
  <x:sheetData>
    <x:row r="1" ht="22" customHeight="1">
      <x:c r="A1" s="9" t="str">
        <x:v>수량 충돌과 누락 보완</x:v>
      </x:c>
      <x:c r="B1" s="9"/>
      <x:c r="C1" s="9"/>
      <x:c r="D1" s="9"/>
      <x:c r="E1" s="9"/>
      <x:c r="F1" s="9"/>
    </x:row>
    <x:row r="2" ht="22" customHeight="1">
      <x:c r="A2" s="9"/>
      <x:c r="B2" s="9"/>
      <x:c r="C2" s="9"/>
      <x:c r="D2" s="9"/>
      <x:c r="E2" s="9"/>
      <x:c r="F2" s="9"/>
    </x:row>
    <x:row r="3" ht="32" customHeight="1">
      <x:c r="A3" s="12" t="str">
        <x:v>원본에 없는 정보를 확정값으로 만들지 않고, 변경 필요한 항목과 중복 차감 항목을 추적합니다.</x:v>
      </x:c>
      <x:c r="B3" s="12"/>
      <x:c r="C3" s="12"/>
      <x:c r="D3" s="12"/>
      <x:c r="E3" s="12"/>
      <x:c r="F3" s="12"/>
    </x:row>
    <x:row r="4">
      <x:c r="A4" s="4"/>
      <x:c r="B4" s="4"/>
      <x:c r="C4" s="4"/>
      <x:c r="D4" s="4"/>
      <x:c r="E4" s="4"/>
      <x:c r="F4" s="4"/>
    </x:row>
    <x:row r="5" ht="34" customHeight="1">
      <x:c r="A5" s="15" t="str">
        <x:v>ID</x:v>
      </x:c>
      <x:c r="B5" s="15" t="str">
        <x:v>대상</x:v>
      </x:c>
      <x:c r="C5" s="15" t="str">
        <x:v>원본 상태</x:v>
      </x:c>
      <x:c r="D5" s="15" t="str">
        <x:v>통합 수량 / 처리</x:v>
      </x:c>
      <x:c r="E5" s="15" t="str">
        <x:v>관련 BOM</x:v>
      </x:c>
      <x:c r="F5" s="15" t="str">
        <x:v>결정·검증 사항</x:v>
      </x:c>
    </x:row>
    <x:row r="6" ht="90" customHeight="1">
      <x:c r="A6" s="4" t="str">
        <x:v>Q01</x:v>
      </x:c>
      <x:c r="B6" s="4" t="str">
        <x:v>ToF 센서</x:v>
      </x:c>
      <x:c r="C6" s="4" t="str">
        <x:v>Smart-Cart 2 / Wiring 1</x:v>
      </x:c>
      <x:c r="D6" s="4" t="str">
        <x:v>통합 실장 2 + 예비 1 = 3</x:v>
      </x:c>
      <x:c r="E6" s="4" t="str">
        <x:v>C09</x:v>
      </x:c>
      <x:c r="F6" s="4" t="str">
        <x:v>B1은 TOF1만 연결. C10/C11 멀티플렉서 제안 또는 2.8V 측 제약을 지킨 XSHUT 주소 변경으로 회로 수정.</x:v>
      </x:c>
    </x:row>
    <x:row r="7" ht="90" customHeight="1">
      <x:c r="A7" s="4" t="str">
        <x:v>Q02</x:v>
      </x:c>
      <x:c r="B7" s="4" t="str">
        <x:v>UWB 역할</x:v>
      </x:c>
      <x:c r="C7" s="4" t="str">
        <x:v>카트 베이스2 + 사용자 태그1</x:v>
      </x:c>
      <x:c r="D7" s="4" t="str">
        <x:v>총 3개의 무선 역할; 키트 동봉 수 별도</x:v>
      </x:c>
      <x:c r="E7" s="4" t="str">
        <x:v>C06,C07,C14</x:v>
      </x:c>
      <x:c r="F7" s="4" t="str">
        <x:v>Follow Package ×2라는 이름만 보고 태그 포함을 가정하지 않음. 태그 독립 전원·휴대케이스·케이블도 확인.</x:v>
      </x:c>
    </x:row>
    <x:row r="8" ht="90" customHeight="1">
      <x:c r="A8" s="4" t="str">
        <x:v>Q03</x:v>
      </x:c>
      <x:c r="B8" s="4" t="str">
        <x:v>조향 vs 기본구동</x:v>
      </x:c>
      <x:c r="C8" s="4" t="str">
        <x:v>3D=자유 캐스터; B1=서보옵션 존재</x:v>
      </x:c>
      <x:c r="D8" s="4" t="str">
        <x:v>기본 차동구동, 조향 옵션 분리</x:v>
      </x:c>
      <x:c r="E8" s="4" t="str">
        <x:v>D03,D06,D07</x:v>
      </x:c>
      <x:c r="F8" s="4" t="str">
        <x:v>서보2개와 PWM소자/10A퓨즈2/0.5A퓨즈1/홀더3/하네스2를 함께 선택. 자유 캐스터와 무검증 결합 금지.</x:v>
      </x:c>
    </x:row>
    <x:row r="9" ht="90" customHeight="1">
      <x:c r="A9" s="4" t="str">
        <x:v>Q04</x:v>
      </x:c>
      <x:c r="B9" s="4" t="str">
        <x:v>퓨즈/홀더</x:v>
      </x:c>
      <x:c r="C9" s="4" t="str">
        <x:v>F0~F10 총11개</x:v>
      </x:c>
      <x:c r="D9" s="4" t="str">
        <x:v>기본8 + 조향옵션3 = 전체11</x:v>
      </x:c>
      <x:c r="E9" s="4" t="str">
        <x:v>F01~F14</x:v>
      </x:c>
      <x:c r="F9" s="4" t="str">
        <x:v>퓨즈는 그룹별 수량 합11. 홀더 별도11. 예비 퓨즈11은 추가. 모든 * 정격은 미승인.</x:v>
      </x:c>
    </x:row>
    <x:row r="10" ht="90" customHeight="1">
      <x:c r="A10" s="4" t="str">
        <x:v>Q05</x:v>
      </x:c>
      <x:c r="B10" s="4" t="str">
        <x:v>브레드보드 접점</x:v>
      </x:c>
      <x:c r="C10" s="4" t="str">
        <x:v>84사용접점</x:v>
      </x:c>
      <x:c r="D10" s="4" t="str">
        <x:v>IC14 + 저항12 + C2 + 내부점퍼18 + 외부선38 =84</x:v>
      </x:c>
      <x:c r="E10" s="4" t="str">
        <x:v>B01,B07,B08</x:v>
      </x:c>
      <x:c r="F10" s="4" t="str">
        <x:v>내부 점퍼는9가닥. 외부 38가닥은 모듈 단자 성별/거리 확정 전 전기 리드 개수이며 84가닥이 아님.</x:v>
      </x:c>
    </x:row>
    <x:row r="11" ht="90" customHeight="1">
      <x:c r="A11" s="4" t="str">
        <x:v>Q06</x:v>
      </x:c>
      <x:c r="B11" s="4" t="str">
        <x:v>USB 데이터</x:v>
      </x:c>
      <x:c r="C11" s="4" t="str">
        <x:v>upstream1 + downstream4</x:v>
      </x:c>
      <x:c r="D11" s="4" t="str">
        <x:v>USB 데이터 경로5개</x:v>
      </x:c>
      <x:c r="E11" s="4" t="str">
        <x:v>H01~H04</x:v>
      </x:c>
      <x:c r="F11" s="4" t="str">
        <x:v>downstream=ESP32 1, C1어댑터1,UWB2. C1센서 하네스·SBC전원·태그전원은 따로 계상.</x:v>
      </x:c>
    </x:row>
    <x:row r="12" ht="90" customHeight="1">
      <x:c r="A12" s="4" t="str">
        <x:v>Q07</x:v>
      </x:c>
      <x:c r="B12" s="4" t="str">
        <x:v>12V 전원</x:v>
      </x:c>
      <x:c r="C12" s="4" t="str">
        <x:v>서보 없이 K1코일 필요</x:v>
      </x:c>
      <x:c r="D12" s="4" t="str">
        <x:v>기본에도 DC1 유지</x:v>
      </x:c>
      <x:c r="E12" s="4" t="str">
        <x:v>E06,E10</x:v>
      </x:c>
      <x:c r="F12" s="4" t="str">
        <x:v>서보 옵션 OFF라고 12V컨버터/코일퓨즈를 없애면 B1 자기유지 회로가 동작하지 않음.</x:v>
      </x:c>
    </x:row>
    <x:row r="13" ht="90" customHeight="1">
      <x:c r="A13" s="4" t="str">
        <x:v>Q08</x:v>
      </x:c>
      <x:c r="B13" s="4" t="str">
        <x:v>동봉품 중복</x:v>
      </x:c>
      <x:c r="C13" s="4" t="str">
        <x:v>카트/센서키트/태그 구성 불명</x:v>
      </x:c>
      <x:c r="D13" s="4" t="str">
        <x:v>실제 송장·포장명세로 동봉 차감 입력</x:v>
      </x:c>
      <x:c r="E13" s="4" t="str">
        <x:v>C05,H01,H04,H05,G03~G08</x:v>
      </x:c>
      <x:c r="F13" s="4" t="str">
        <x:v>보유 수량·동봉 차감은 초기0을 가정. 이미 포함된 부품은 뺀 뒤 주문; 예비는 따로 유지.</x:v>
      </x:c>
    </x:row>
    <x:row r="14" ht="90" customHeight="1">
      <x:c r="A14" s="4" t="str">
        <x:v>Q09</x:v>
      </x:c>
      <x:c r="B14" s="4" t="str">
        <x:v>배터리 화학</x:v>
      </x:c>
      <x:c r="C14" s="4" t="str">
        <x:v>24V108Ah 이름만 동일한 제품 존재</x:v>
      </x:c>
      <x:c r="D14" s="4" t="str">
        <x:v>LiFePO4와 리튬이온을 구분</x:v>
      </x:c>
      <x:c r="E14" s="4" t="str">
        <x:v>E01,E02</x:v>
      </x:c>
      <x:c r="F14" s="4" t="str">
        <x:v>25.2V108Ah 리튬이온 판매품을 LiFePO4 대체품으로 링크하지 않음. 충전기와 BMS까지 맞춰야 함.</x:v>
      </x:c>
    </x:row>
    <x:row r="15" ht="90" customHeight="1">
      <x:c r="A15" s="4" t="str">
        <x:v>Q10</x:v>
      </x:c>
      <x:c r="B15" s="4" t="str">
        <x:v>기구·전선 정확도</x:v>
      </x:c>
      <x:c r="C15" s="4" t="str">
        <x:v>시각화 모델; 실측/CAD 컷리스트 없음</x:v>
      </x:c>
      <x:c r="D15" s="4" t="str">
        <x:v>조립체 개수만 산출, 볼트/케이블 길이는 미정</x:v>
      </x:c>
      <x:c r="E15" s="4" t="str">
        <x:v>G01~G26,H09~H17</x:v>
      </x:c>
      <x:c r="F15" s="4" t="str">
        <x:v>미정 셀을0으로 바꾸지 않음. 길이·단면·체결표 없이는 부족 없는 전체 구매 보장 불가.</x:v>
      </x:c>
    </x:row>
    <x:row r="16" ht="90" customHeight="1">
      <x:c r="A16" s="4" t="str">
        <x:v>Q11</x:v>
      </x:c>
      <x:c r="B16" s="4" t="str">
        <x:v>실물 안전</x:v>
      </x:c>
      <x:c r="C16" s="4" t="str">
        <x:v>전원차단≠브레이크</x:v>
      </x:c>
      <x:c r="D16" s="4" t="str">
        <x:v>제동·회생·보호 정격 승인 전 전력부 발주 보류</x:v>
      </x:c>
      <x:c r="E16" s="4" t="str">
        <x:v>D04,E01~E15</x:v>
      </x:c>
      <x:c r="F16" s="4" t="str">
        <x:v>탑승/경사로 시험은 별도 승인. PCB 제작물이나 기존 CarryMate 허브 부품은 이 BOM 대상 아님.</x:v>
      </x:c>
    </x:row>
    <x:row r="17" ht="90" customHeight="1">
      <x:c r="A17" s="4" t="str">
        <x:v>Q12</x:v>
      </x:c>
      <x:c r="B17" s="4" t="str">
        <x:v>배송 제한</x:v>
      </x:c>
      <x:c r="C17" s="4" t="str">
        <x:v>한국 사이트도 주문수입/해외창고 상품 존재</x:v>
      </x:c>
      <x:c r="D17" s="4" t="str">
        <x:v>국내 확보 수량만; 부족분 해외 발주 금지</x:v>
      </x:c>
      <x:c r="E17" s="4" t="str">
        <x:v>P01~P16</x:v>
      </x:c>
      <x:c r="F17" s="4" t="str">
        <x:v>A=국내재고 수량 표시, B=국내배송/픽업 안내·재고수량 미공개. A도 예약 아님; 주문 직전 재확인.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77ea1820833b41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30" hidden="0" customWidth="1"/>
    <x:col min="5" max="5" width="38" hidden="0" customWidth="1"/>
    <x:col min="6" max="6" width="15" hidden="0" customWidth="1"/>
    <x:col min="7" max="7" width="65" hidden="0" customWidth="1"/>
    <x:col min="8" max="8" width="48" hidden="0" customWidth="1"/>
  </x:cols>
  <x:sheetData>
    <x:row r="1" ht="22" customHeight="1">
      <x:c r="A1" s="9" t="str">
        <x:v>원본 46개 참조번호 전수 대조</x:v>
      </x:c>
      <x:c r="B1" s="9"/>
      <x:c r="C1" s="9"/>
      <x:c r="D1" s="9"/>
      <x:c r="E1" s="9"/>
      <x:c r="F1" s="9"/>
      <x:c r="G1" s="9"/>
      <x:c r="H1" s="9"/>
    </x:row>
    <x:row r="2" ht="22" customHeight="1">
      <x:c r="A2" s="9"/>
      <x:c r="B2" s="9"/>
      <x:c r="C2" s="9"/>
      <x:c r="D2" s="9"/>
      <x:c r="E2" s="9"/>
      <x:c r="F2" s="9"/>
      <x:c r="G2" s="9"/>
      <x:c r="H2" s="9"/>
    </x:row>
    <x:row r="3" ht="32" customHeight="1">
      <x:c r="A3" s="12" t="str">
        <x:v>각 참조번호는 통합 BOM 한 행에 한 번만 대응합니다. 이 표의 원본 수량을 구매표에 다시 더하지 마세요.</x:v>
      </x:c>
      <x:c r="B3" s="12"/>
      <x:c r="C3" s="12"/>
      <x:c r="D3" s="12"/>
      <x:c r="E3" s="12"/>
      <x:c r="F3" s="12"/>
      <x:c r="G3" s="12"/>
      <x:c r="H3" s="12"/>
    </x:row>
    <x:row r="4">
      <x:c r="A4" s="4"/>
      <x:c r="B4" s="4"/>
      <x:c r="C4" s="4"/>
      <x:c r="D4" s="4"/>
      <x:c r="E4" s="4"/>
      <x:c r="F4" s="4"/>
      <x:c r="G4" s="4"/>
      <x:c r="H4" s="4"/>
    </x:row>
    <x:row r="5" ht="34" customHeight="1">
      <x:c r="A5" s="15" t="str">
        <x:v>원본 Ref</x:v>
      </x:c>
      <x:c r="B5" s="15" t="str">
        <x:v>통합 ID</x:v>
      </x:c>
      <x:c r="C5" s="15" t="str">
        <x:v>원본 수량</x:v>
      </x:c>
      <x:c r="D5" s="15" t="str">
        <x:v>원본 부품</x:v>
      </x:c>
      <x:c r="E5" s="15" t="str">
        <x:v>원본 규격</x:v>
      </x:c>
      <x:c r="F5" s="15" t="str">
        <x:v>원본 상태</x:v>
      </x:c>
      <x:c r="G5" s="15" t="str">
        <x:v>원본 주의사항</x:v>
      </x:c>
      <x:c r="H5" s="15" t="str">
        <x:v>원본 URL</x:v>
      </x:c>
    </x:row>
    <x:row r="6" ht="86" customHeight="1">
      <x:c r="A6" s="4" t="str">
        <x:v>BT1</x:v>
      </x:c>
      <x:c r="B6" s="4" t="str">
        <x:v>E01</x:v>
      </x:c>
      <x:c r="C6" s="4" t="n">
        <x:v>1</x:v>
      </x:c>
      <x:c r="D6" s="4" t="str">
        <x:v>LiFePO4 배터리</x:v>
      </x:c>
      <x:c r="E6" s="4" t="str">
        <x:v>24V class / 108Ah</x:v>
      </x:c>
      <x:c r="F6" s="4" t="str">
        <x:v>candidate</x:v>
      </x:c>
      <x:c r="G6" s="4" t="str">
        <x:v>기존 도면의 24V 108Ah를 유지. 실제 모델·BMS 정격 미확정. 8S라면 공칭 25.6V, 충전 상한은 제조사 확인.</x:v>
      </x:c>
      <x:c r="H6" s="4" t="str">
        <x:v>https://github.com/JTech-CO/Smart-Cart-Wiring/blob/3ac3f1d793caba6494d27df6f0b9ba2eee8606d5/data/BOM.csv</x:v>
      </x:c>
    </x:row>
    <x:row r="7" ht="86" customHeight="1">
      <x:c r="A7" s="4" t="str">
        <x:v>F0</x:v>
      </x:c>
      <x:c r="B7" s="4" t="str">
        <x:v>F01</x:v>
      </x:c>
      <x:c r="C7" s="4" t="n">
        <x:v>1</x:v>
      </x:c>
      <x:c r="D7" s="4" t="str">
        <x:v>메인 퓨즈</x:v>
      </x:c>
      <x:c r="E7" s="4" t="str">
        <x:v>60A *</x:v>
      </x:c>
      <x:c r="F7" s="4" t="str">
        <x:v>candidate</x:v>
      </x:c>
      <x:c r="G7" s="4" t="str">
        <x:v>배터리 + 가까이 설치. 60A는 검토값. DC 전압·차단용량·전선 보호 협조 확정 전 통전 금지.</x:v>
      </x:c>
      <x:c r="H7" s="4" t="str">
        <x:v>https://github.com/JTech-CO/Smart-Cart-Wiring/blob/3ac3f1d793caba6494d27df6f0b9ba2eee8606d5/data/BOM.csv</x:v>
      </x:c>
    </x:row>
    <x:row r="8" ht="86" customHeight="1">
      <x:c r="A8" s="4" t="str">
        <x:v>S0</x:v>
      </x:c>
      <x:c r="B8" s="4" t="str">
        <x:v>E03</x:v>
      </x:c>
      <x:c r="C8" s="4" t="n">
        <x:v>1</x:v>
      </x:c>
      <x:c r="D8" s="4" t="str">
        <x:v>메인 차단 스위치</x:v>
      </x:c>
      <x:c r="E8" s="4" t="str">
        <x:v>DC disconnect</x:v>
      </x:c>
      <x:c r="F8" s="4" t="str">
        <x:v>candidate</x:v>
      </x:c>
      <x:c r="G8" s="4" t="str">
        <x:v>전류 정격과 DC 부하 차단 능력 확인. 배터리 -는 외부 공통 0V 버스로 연결.</x:v>
      </x:c>
      <x:c r="H8" s="4" t="str">
        <x:v>https://github.com/JTech-CO/Smart-Cart-Wiring/blob/3ac3f1d793caba6494d27df6f0b9ba2eee8606d5/data/BOM.csv</x:v>
      </x:c>
    </x:row>
    <x:row r="9" ht="86" customHeight="1">
      <x:c r="A9" s="4" t="str">
        <x:v>X24</x:v>
      </x:c>
      <x:c r="B9" s="4" t="str">
        <x:v>E04</x:v>
      </x:c>
      <x:c r="C9" s="4" t="n">
        <x:v>1</x:v>
      </x:c>
      <x:c r="D9" s="4" t="str">
        <x:v>배터리 전원 분배</x:v>
      </x:c>
      <x:c r="E9" s="4" t="str">
        <x:v>24V class</x:v>
      </x:c>
      <x:c r="F9" s="4" t="str">
        <x:v>candidate</x:v>
      </x:c>
      <x:c r="G9" s="4" t="str">
        <x:v>절연 커버가 있는 양극 전용 버스. 음극 버스와 물리적으로 분리.</x:v>
      </x:c>
      <x:c r="H9" s="4" t="str">
        <x:v>https://github.com/JTech-CO/Smart-Cart-Wiring/blob/3ac3f1d793caba6494d27df6f0b9ba2eee8606d5/data/BOM.csv</x:v>
      </x:c>
    </x:row>
    <x:row r="10" ht="86" customHeight="1">
      <x:c r="A10" s="4" t="str">
        <x:v>X0</x:v>
      </x:c>
      <x:c r="B10" s="4" t="str">
        <x:v>E05</x:v>
      </x:c>
      <x:c r="C10" s="4" t="n">
        <x:v>1</x:v>
      </x:c>
      <x:c r="D10" s="4" t="str">
        <x:v>공통 0V 분배</x:v>
      </x:c>
      <x:c r="E10" s="4" t="str">
        <x:v>0V / star return</x:v>
      </x:c>
      <x:c r="F10" s="4" t="str">
        <x:v>candidate</x:v>
      </x:c>
      <x:c r="G10" s="4" t="str">
        <x:v>비절연 DC-DC 기준. 모터·서보 귀환은 이 버스로 직접 연결. 브레드보드를 대전류 귀환 경로로 사용하지 않음.</x:v>
      </x:c>
      <x:c r="H10" s="4" t="str">
        <x:v>https://github.com/JTech-CO/Smart-Cart-Wiring/blob/3ac3f1d793caba6494d27df6f0b9ba2eee8606d5/data/BOM.csv</x:v>
      </x:c>
    </x:row>
    <x:row r="11" ht="86" customHeight="1">
      <x:c r="A11" s="4" t="str">
        <x:v>K1</x:v>
      </x:c>
      <x:c r="B11" s="4" t="str">
        <x:v>E06</x:v>
      </x:c>
      <x:c r="C11" s="4" t="n">
        <x:v>1</x:v>
      </x:c>
      <x:c r="D11" s="4" t="str">
        <x:v>구동 전원 접촉기</x:v>
      </x:c>
      <x:c r="E11" s="4" t="str">
        <x:v>12V coil / DC main contacts</x:v>
      </x:c>
      <x:c r="F11" s="4" t="str">
        <x:v>candidate</x:v>
      </x:c>
      <x:c r="G11" s="4" t="str">
        <x:v>12V 코일과 별도 NO 보조접점이 필요. DC 주접점 정격은 최종 선정. E-stop은 구동전원 차단이며 제동 보장은 아님.</x:v>
      </x:c>
      <x:c r="H11" s="4" t="str">
        <x:v>https://github.com/JTech-CO/Smart-Cart-Wiring/blob/3ac3f1d793caba6494d27df6f0b9ba2eee8606d5/data/BOM.csv</x:v>
      </x:c>
    </x:row>
    <x:row r="12" ht="86" customHeight="1">
      <x:c r="A12" s="4" t="str">
        <x:v>F1</x:v>
      </x:c>
      <x:c r="B12" s="4" t="str">
        <x:v>F02</x:v>
      </x:c>
      <x:c r="C12" s="4" t="n">
        <x:v>1</x:v>
      </x:c>
      <x:c r="D12" s="4" t="str">
        <x:v>좌측 모터 입력 퓨즈</x:v>
      </x:c>
      <x:c r="E12" s="4" t="str">
        <x:v>25A *</x:v>
      </x:c>
      <x:c r="F12" s="4" t="str">
        <x:v>candidate</x:v>
      </x:c>
      <x:c r="G12" s="4" t="str"/>
      <x:c r="H12" s="4" t="str">
        <x:v>https://github.com/JTech-CO/Smart-Cart-Wiring/blob/3ac3f1d793caba6494d27df6f0b9ba2eee8606d5/data/BOM.csv</x:v>
      </x:c>
    </x:row>
    <x:row r="13" ht="86" customHeight="1">
      <x:c r="A13" s="4" t="str">
        <x:v>F2</x:v>
      </x:c>
      <x:c r="B13" s="4" t="str">
        <x:v>F02</x:v>
      </x:c>
      <x:c r="C13" s="4" t="n">
        <x:v>1</x:v>
      </x:c>
      <x:c r="D13" s="4" t="str">
        <x:v>우측 모터 입력 퓨즈</x:v>
      </x:c>
      <x:c r="E13" s="4" t="str">
        <x:v>25A *</x:v>
      </x:c>
      <x:c r="F13" s="4" t="str">
        <x:v>candidate</x:v>
      </x:c>
      <x:c r="G13" s="4" t="str"/>
      <x:c r="H13" s="4" t="str">
        <x:v>https://github.com/JTech-CO/Smart-Cart-Wiring/blob/3ac3f1d793caba6494d27df6f0b9ba2eee8606d5/data/BOM.csv</x:v>
      </x:c>
    </x:row>
    <x:row r="14" ht="86" customHeight="1">
      <x:c r="A14" s="4" t="str">
        <x:v>MDL</x:v>
      </x:c>
      <x:c r="B14" s="4" t="str">
        <x:v>D02</x:v>
      </x:c>
      <x:c r="C14" s="4" t="n">
        <x:v>1</x:v>
      </x:c>
      <x:c r="D14" s="4" t="str">
        <x:v>좌측 모터 드라이버</x:v>
      </x:c>
      <x:c r="E14" s="4" t="str">
        <x:v>SMC G2 24v19 / UART</x:v>
      </x:c>
      <x:c r="F14" s="4" t="str">
        <x:v>conditional</x:v>
      </x:c>
      <x:c r="G14" s="4" t="str">
        <x:v>Pololu G2 SMC 24v19를 조건부 기준으로 사용. 정상 권장 상한 34V. 19A 연속값은 조건부이며 스톨·열·회생은 별도 검증. 포함 단자대는 제조사 15~16A 안내가 있어 25A 보호분기에는 그대로 승인하지 않음. UART timeout, safe-start 설정 필요.</x:v>
      </x:c>
      <x:c r="H14" s="4" t="str">
        <x:v>https://github.com/JTech-CO/Smart-Cart-Wiring/blob/3ac3f1d793caba6494d27df6f0b9ba2eee8606d5/data/BOM.csv</x:v>
      </x:c>
    </x:row>
    <x:row r="15" ht="86" customHeight="1">
      <x:c r="A15" s="4" t="str">
        <x:v>ML</x:v>
      </x:c>
      <x:c r="B15" s="4" t="str">
        <x:v>D01</x:v>
      </x:c>
      <x:c r="C15" s="4" t="n">
        <x:v>1</x:v>
      </x:c>
      <x:c r="D15" s="4" t="str">
        <x:v>좌측 감속모터</x:v>
      </x:c>
      <x:c r="E15" s="4" t="str">
        <x:v>24V / 250W</x:v>
      </x:c>
      <x:c r="F15" s="4" t="str">
        <x:v>candidate</x:v>
      </x:c>
      <x:c r="G15" s="4" t="str">
        <x:v>24V 250W 브러시드 DC 감속모터 가정. 극성은 바퀴를 띄운 상태에서 확인. 스톨 전류 미확정.</x:v>
      </x:c>
      <x:c r="H15" s="4" t="str">
        <x:v>https://github.com/JTech-CO/Smart-Cart-Wiring/blob/3ac3f1d793caba6494d27df6f0b9ba2eee8606d5/data/BOM.csv</x:v>
      </x:c>
    </x:row>
    <x:row r="16" ht="86" customHeight="1">
      <x:c r="A16" s="4" t="str">
        <x:v>MDR</x:v>
      </x:c>
      <x:c r="B16" s="4" t="str">
        <x:v>D02</x:v>
      </x:c>
      <x:c r="C16" s="4" t="n">
        <x:v>1</x:v>
      </x:c>
      <x:c r="D16" s="4" t="str">
        <x:v>우측 모터 드라이버</x:v>
      </x:c>
      <x:c r="E16" s="4" t="str">
        <x:v>SMC G2 24v19 / UART</x:v>
      </x:c>
      <x:c r="F16" s="4" t="str">
        <x:v>conditional</x:v>
      </x:c>
      <x:c r="G16" s="4" t="str">
        <x:v>Pololu G2 SMC 24v19를 조건부 기준으로 사용. 정상 권장 상한 34V. 19A 연속값은 조건부이며 스톨·열·회생은 별도 검증. 포함 단자대는 제조사 15~16A 안내가 있어 25A 보호분기에는 그대로 승인하지 않음. UART timeout, safe-start 설정 필요.</x:v>
      </x:c>
      <x:c r="H16" s="4" t="str">
        <x:v>https://github.com/JTech-CO/Smart-Cart-Wiring/blob/3ac3f1d793caba6494d27df6f0b9ba2eee8606d5/data/BOM.csv</x:v>
      </x:c>
    </x:row>
    <x:row r="17" ht="86" customHeight="1">
      <x:c r="A17" s="4" t="str">
        <x:v>MR</x:v>
      </x:c>
      <x:c r="B17" s="4" t="str">
        <x:v>D01</x:v>
      </x:c>
      <x:c r="C17" s="4" t="n">
        <x:v>1</x:v>
      </x:c>
      <x:c r="D17" s="4" t="str">
        <x:v>우측 감속모터</x:v>
      </x:c>
      <x:c r="E17" s="4" t="str">
        <x:v>24V / 250W</x:v>
      </x:c>
      <x:c r="F17" s="4" t="str">
        <x:v>candidate</x:v>
      </x:c>
      <x:c r="G17" s="4" t="str">
        <x:v>24V 250W 브러시드 DC 감속모터 가정. 극성은 바퀴를 띄운 상태에서 확인. 스톨 전류 미확정.</x:v>
      </x:c>
      <x:c r="H17" s="4" t="str">
        <x:v>https://github.com/JTech-CO/Smart-Cart-Wiring/blob/3ac3f1d793caba6494d27df6f0b9ba2eee8606d5/data/BOM.csv</x:v>
      </x:c>
    </x:row>
    <x:row r="18" ht="86" customHeight="1">
      <x:c r="A18" s="4" t="str">
        <x:v>F3</x:v>
      </x:c>
      <x:c r="B18" s="4" t="str">
        <x:v>F03</x:v>
      </x:c>
      <x:c r="C18" s="4" t="n">
        <x:v>1</x:v>
      </x:c>
      <x:c r="D18" s="4" t="str">
        <x:v>12V 컨버터 입력 퓨즈</x:v>
      </x:c>
      <x:c r="E18" s="4" t="str">
        <x:v>15A *</x:v>
      </x:c>
      <x:c r="F18" s="4" t="str">
        <x:v>candidate</x:v>
      </x:c>
      <x:c r="G18" s="4" t="str"/>
      <x:c r="H18" s="4" t="str">
        <x:v>https://github.com/JTech-CO/Smart-Cart-Wiring/blob/3ac3f1d793caba6494d27df6f0b9ba2eee8606d5/data/BOM.csv</x:v>
      </x:c>
    </x:row>
    <x:row r="19" ht="86" customHeight="1">
      <x:c r="A19" s="4" t="str">
        <x:v>F4</x:v>
      </x:c>
      <x:c r="B19" s="4" t="str">
        <x:v>F04</x:v>
      </x:c>
      <x:c r="C19" s="4" t="n">
        <x:v>1</x:v>
      </x:c>
      <x:c r="D19" s="4" t="str">
        <x:v>5V 컨버터 입력 퓨즈</x:v>
      </x:c>
      <x:c r="E19" s="4" t="str">
        <x:v>5A *</x:v>
      </x:c>
      <x:c r="F19" s="4" t="str">
        <x:v>candidate</x:v>
      </x:c>
      <x:c r="G19" s="4" t="str"/>
      <x:c r="H19" s="4" t="str">
        <x:v>https://github.com/JTech-CO/Smart-Cart-Wiring/blob/3ac3f1d793caba6494d27df6f0b9ba2eee8606d5/data/BOM.csv</x:v>
      </x:c>
    </x:row>
    <x:row r="20" ht="86" customHeight="1">
      <x:c r="A20" s="4" t="str">
        <x:v>DC1</x:v>
      </x:c>
      <x:c r="B20" s="4" t="str">
        <x:v>E10</x:v>
      </x:c>
      <x:c r="C20" s="4" t="n">
        <x:v>1</x:v>
      </x:c>
      <x:c r="D20" s="4" t="str">
        <x:v>조향 전원 컨버터</x:v>
      </x:c>
      <x:c r="E20" s="4" t="str">
        <x:v>24V class → 12V / 20A</x:v>
      </x:c>
      <x:c r="F20" s="4" t="str">
        <x:v>candidate</x:v>
      </x:c>
      <x:c r="G20" s="4" t="str">
        <x:v>입력은 배터리 완충 및 과도전압을 허용해야 함. 12V 20A 연속 출력, 방열 및 동시 서보 스톨 확인. 비절연형 기준.</x:v>
      </x:c>
      <x:c r="H20" s="4" t="str">
        <x:v>https://github.com/JTech-CO/Smart-Cart-Wiring/blob/3ac3f1d793caba6494d27df6f0b9ba2eee8606d5/data/BOM.csv</x:v>
      </x:c>
    </x:row>
    <x:row r="21" ht="86" customHeight="1">
      <x:c r="A21" s="4" t="str">
        <x:v>DC2</x:v>
      </x:c>
      <x:c r="B21" s="4" t="str">
        <x:v>E11</x:v>
      </x:c>
      <x:c r="C21" s="4" t="n">
        <x:v>1</x:v>
      </x:c>
      <x:c r="D21" s="4" t="str">
        <x:v>제어 전원 컨버터</x:v>
      </x:c>
      <x:c r="E21" s="4" t="str">
        <x:v>24V class → 5V / 10A</x:v>
      </x:c>
      <x:c r="F21" s="4" t="str">
        <x:v>candidate</x:v>
      </x:c>
      <x:c r="G21" s="4" t="str">
        <x:v>입력 범위·출력 과전압 보호·연속 출력 사양 확인. 5V는 부하 단자에서 측정. 비절연형 기준.</x:v>
      </x:c>
      <x:c r="H21" s="4" t="str">
        <x:v>https://github.com/JTech-CO/Smart-Cart-Wiring/blob/3ac3f1d793caba6494d27df6f0b9ba2eee8606d5/data/BOM.csv</x:v>
      </x:c>
    </x:row>
    <x:row r="22" ht="86" customHeight="1">
      <x:c r="A22" s="4" t="str">
        <x:v>F5</x:v>
      </x:c>
      <x:c r="B22" s="4" t="str">
        <x:v>F05</x:v>
      </x:c>
      <x:c r="C22" s="4" t="n">
        <x:v>1</x:v>
      </x:c>
      <x:c r="D22" s="4" t="str">
        <x:v>좌측 서보 퓨즈</x:v>
      </x:c>
      <x:c r="E22" s="4" t="str">
        <x:v>10A *</x:v>
      </x:c>
      <x:c r="F22" s="4" t="str">
        <x:v>candidate</x:v>
      </x:c>
      <x:c r="G22" s="4" t="str"/>
      <x:c r="H22" s="4" t="str">
        <x:v>https://github.com/JTech-CO/Smart-Cart-Wiring/blob/3ac3f1d793caba6494d27df6f0b9ba2eee8606d5/data/BOM.csv</x:v>
      </x:c>
    </x:row>
    <x:row r="23" ht="86" customHeight="1">
      <x:c r="A23" s="4" t="str">
        <x:v>SVL</x:v>
      </x:c>
      <x:c r="B23" s="4" t="str">
        <x:v>D03</x:v>
      </x:c>
      <x:c r="C23" s="4" t="n">
        <x:v>1</x:v>
      </x:c>
      <x:c r="D23" s="4" t="str">
        <x:v>좌측 조향 서보</x:v>
      </x:c>
      <x:c r="E23" s="4" t="str">
        <x:v>RDS51150 / 12V</x:v>
      </x:c>
      <x:c r="F23" s="4" t="str">
        <x:v>conditional</x:v>
      </x:c>
      <x:c r="G23" s="4" t="str">
        <x:v>RDS51150 12V형 조건부. 실제 선 색·순서·피드백 선 유무·5V PWM 허용 여부 확인. 기존 저장소는 자유 캐스터 차동 구동이므로 조향 링크를 확정하기 전 장착 구동 금지.</x:v>
      </x:c>
      <x:c r="H23" s="4" t="str">
        <x:v>https://github.com/JTech-CO/Smart-Cart-Wiring/blob/3ac3f1d793caba6494d27df6f0b9ba2eee8606d5/data/BOM.csv</x:v>
      </x:c>
    </x:row>
    <x:row r="24" ht="86" customHeight="1">
      <x:c r="A24" s="4" t="str">
        <x:v>F6</x:v>
      </x:c>
      <x:c r="B24" s="4" t="str">
        <x:v>F05</x:v>
      </x:c>
      <x:c r="C24" s="4" t="n">
        <x:v>1</x:v>
      </x:c>
      <x:c r="D24" s="4" t="str">
        <x:v>우측 서보 퓨즈</x:v>
      </x:c>
      <x:c r="E24" s="4" t="str">
        <x:v>10A *</x:v>
      </x:c>
      <x:c r="F24" s="4" t="str">
        <x:v>candidate</x:v>
      </x:c>
      <x:c r="G24" s="4" t="str"/>
      <x:c r="H24" s="4" t="str">
        <x:v>https://github.com/JTech-CO/Smart-Cart-Wiring/blob/3ac3f1d793caba6494d27df6f0b9ba2eee8606d5/data/BOM.csv</x:v>
      </x:c>
    </x:row>
    <x:row r="25" ht="86" customHeight="1">
      <x:c r="A25" s="4" t="str">
        <x:v>SVR</x:v>
      </x:c>
      <x:c r="B25" s="4" t="str">
        <x:v>D03</x:v>
      </x:c>
      <x:c r="C25" s="4" t="n">
        <x:v>1</x:v>
      </x:c>
      <x:c r="D25" s="4" t="str">
        <x:v>우측 조향 서보</x:v>
      </x:c>
      <x:c r="E25" s="4" t="str">
        <x:v>RDS51150 / 12V</x:v>
      </x:c>
      <x:c r="F25" s="4" t="str">
        <x:v>conditional</x:v>
      </x:c>
      <x:c r="G25" s="4" t="str">
        <x:v>RDS51150 12V형 조건부. 실제 선 색·순서·피드백 선 유무·5V PWM 허용 여부 확인. 기존 저장소는 자유 캐스터 차동 구동이므로 조향 링크를 확정하기 전 장착 구동 금지.</x:v>
      </x:c>
      <x:c r="H25" s="4" t="str">
        <x:v>https://github.com/JTech-CO/Smart-Cart-Wiring/blob/3ac3f1d793caba6494d27df6f0b9ba2eee8606d5/data/BOM.csv</x:v>
      </x:c>
    </x:row>
    <x:row r="26" ht="86" customHeight="1">
      <x:c r="A26" s="4" t="str">
        <x:v>F7</x:v>
      </x:c>
      <x:c r="B26" s="4" t="str">
        <x:v>F06</x:v>
      </x:c>
      <x:c r="C26" s="4" t="n">
        <x:v>1</x:v>
      </x:c>
      <x:c r="D26" s="4" t="str">
        <x:v>Orange Pi 출력 퓨즈</x:v>
      </x:c>
      <x:c r="E26" s="4" t="str">
        <x:v>4A *</x:v>
      </x:c>
      <x:c r="F26" s="4" t="str">
        <x:v>candidate</x:v>
      </x:c>
      <x:c r="G26" s="4" t="str"/>
      <x:c r="H26" s="4" t="str">
        <x:v>https://github.com/JTech-CO/Smart-Cart-Wiring/blob/3ac3f1d793caba6494d27df6f0b9ba2eee8606d5/data/BOM.csv</x:v>
      </x:c>
    </x:row>
    <x:row r="27" ht="86" customHeight="1">
      <x:c r="A27" s="4" t="str">
        <x:v>F8</x:v>
      </x:c>
      <x:c r="B27" s="4" t="str">
        <x:v>F06</x:v>
      </x:c>
      <x:c r="C27" s="4" t="n">
        <x:v>1</x:v>
      </x:c>
      <x:c r="D27" s="4" t="str">
        <x:v>USB 허브 출력 퓨즈</x:v>
      </x:c>
      <x:c r="E27" s="4" t="str">
        <x:v>4A *</x:v>
      </x:c>
      <x:c r="F27" s="4" t="str">
        <x:v>candidate</x:v>
      </x:c>
      <x:c r="G27" s="4" t="str"/>
      <x:c r="H27" s="4" t="str">
        <x:v>https://github.com/JTech-CO/Smart-Cart-Wiring/blob/3ac3f1d793caba6494d27df6f0b9ba2eee8606d5/data/BOM.csv</x:v>
      </x:c>
    </x:row>
    <x:row r="28" ht="86" customHeight="1">
      <x:c r="A28" s="4" t="str">
        <x:v>F9</x:v>
      </x:c>
      <x:c r="B28" s="4" t="str">
        <x:v>F07</x:v>
      </x:c>
      <x:c r="C28" s="4" t="n">
        <x:v>1</x:v>
      </x:c>
      <x:c r="D28" s="4" t="str">
        <x:v>접촉기 코일 퓨즈</x:v>
      </x:c>
      <x:c r="E28" s="4" t="str">
        <x:v>1A *</x:v>
      </x:c>
      <x:c r="F28" s="4" t="str">
        <x:v>candidate</x:v>
      </x:c>
      <x:c r="G28" s="4" t="str"/>
      <x:c r="H28" s="4" t="str">
        <x:v>https://github.com/JTech-CO/Smart-Cart-Wiring/blob/3ac3f1d793caba6494d27df6f0b9ba2eee8606d5/data/BOM.csv</x:v>
      </x:c>
    </x:row>
    <x:row r="29" ht="86" customHeight="1">
      <x:c r="A29" s="4" t="str">
        <x:v>F10</x:v>
      </x:c>
      <x:c r="B29" s="4" t="str">
        <x:v>F08</x:v>
      </x:c>
      <x:c r="C29" s="4" t="n">
        <x:v>1</x:v>
      </x:c>
      <x:c r="D29" s="4" t="str">
        <x:v>브레드보드 5V 분기</x:v>
      </x:c>
      <x:c r="E29" s="4" t="str">
        <x:v>0.5A *</x:v>
      </x:c>
      <x:c r="F29" s="4" t="str">
        <x:v>candidate</x:v>
      </x:c>
      <x:c r="G29" s="4" t="str">
        <x:v>5V는 AHCT 버퍼에만 공급. 서보·SBC 전원은 브레드보드를 통과하지 않음.</x:v>
      </x:c>
      <x:c r="H29" s="4" t="str">
        <x:v>https://github.com/JTech-CO/Smart-Cart-Wiring/blob/3ac3f1d793caba6494d27df6f0b9ba2eee8606d5/data/BOM.csv</x:v>
      </x:c>
    </x:row>
    <x:row r="30" ht="86" customHeight="1">
      <x:c r="A30" s="4" t="str">
        <x:v>S1</x:v>
      </x:c>
      <x:c r="B30" s="4" t="str">
        <x:v>E08</x:v>
      </x:c>
      <x:c r="C30" s="4" t="n">
        <x:v>1</x:v>
      </x:c>
      <x:c r="D30" s="4" t="str">
        <x:v>비상정지 버튼</x:v>
      </x:c>
      <x:c r="E30" s="4" t="str">
        <x:v>NC / twist reset</x:v>
      </x:c>
      <x:c r="F30" s="4" t="str">
        <x:v>candidate</x:v>
      </x:c>
      <x:c r="G30" s="4" t="str">
        <x:v>래칭 NC 접점. 해제만으로 재출발하지 않으며 S2를 다시 눌러야 접촉기가 유지됨.</x:v>
      </x:c>
      <x:c r="H30" s="4" t="str">
        <x:v>https://github.com/JTech-CO/Smart-Cart-Wiring/blob/3ac3f1d793caba6494d27df6f0b9ba2eee8606d5/data/BOM.csv</x:v>
      </x:c>
    </x:row>
    <x:row r="31" ht="86" customHeight="1">
      <x:c r="A31" s="4" t="str">
        <x:v>S2</x:v>
      </x:c>
      <x:c r="B31" s="4" t="str">
        <x:v>E09</x:v>
      </x:c>
      <x:c r="C31" s="4" t="n">
        <x:v>1</x:v>
      </x:c>
      <x:c r="D31" s="4" t="str">
        <x:v>수동 재무장 버튼</x:v>
      </x:c>
      <x:c r="E31" s="4" t="str">
        <x:v>momentary NO</x:v>
      </x:c>
      <x:c r="F31" s="4" t="str">
        <x:v>candidate</x:v>
      </x:c>
      <x:c r="G31" s="4" t="str">
        <x:v>K1 NO 보조접점 13-14와 병렬. 이것은 단일 채널 기능 회로이며 인증된 안전 회로가 아님.</x:v>
      </x:c>
      <x:c r="H31" s="4" t="str">
        <x:v>https://github.com/JTech-CO/Smart-Cart-Wiring/blob/3ac3f1d793caba6494d27df6f0b9ba2eee8606d5/data/BOM.csv</x:v>
      </x:c>
    </x:row>
    <x:row r="32" ht="86" customHeight="1">
      <x:c r="A32" s="4" t="str">
        <x:v>Z1</x:v>
      </x:c>
      <x:c r="B32" s="4" t="str">
        <x:v>E07</x:v>
      </x:c>
      <x:c r="C32" s="4" t="n">
        <x:v>1</x:v>
      </x:c>
      <x:c r="D32" s="4" t="str">
        <x:v>코일 서지 억제 모듈</x:v>
      </x:c>
      <x:c r="E32" s="4" t="str">
        <x:v>K1 지정품</x:v>
      </x:c>
      <x:c r="F32" s="4" t="str">
        <x:v>candidate</x:v>
      </x:c>
      <x:c r="G32" s="4" t="str">
        <x:v>코일 전압·클램프·접촉기 해제시간에 맞는 제조사 지정 억제기. 임의 플라이백 다이오드로 대체 금지.</x:v>
      </x:c>
      <x:c r="H32" s="4" t="str">
        <x:v>https://github.com/JTech-CO/Smart-Cart-Wiring/blob/3ac3f1d793caba6494d27df6f0b9ba2eee8606d5/data/BOM.csv</x:v>
      </x:c>
    </x:row>
    <x:row r="33" ht="86" customHeight="1">
      <x:c r="A33" s="4" t="str">
        <x:v>OP1</x:v>
      </x:c>
      <x:c r="B33" s="4" t="str">
        <x:v>C01</x:v>
      </x:c>
      <x:c r="C33" s="4" t="n">
        <x:v>1</x:v>
      </x:c>
      <x:c r="D33" s="4" t="str">
        <x:v>Orange Pi 4 Pro</x:v>
      </x:c>
      <x:c r="E33" s="4" t="str">
        <x:v>5V Type-C / high-level control</x:v>
      </x:c>
      <x:c r="F33" s="4" t="str">
        <x:v>reference</x:v>
      </x:c>
      <x:c r="G33" s="4" t="str">
        <x:v>전원용 Type-C 5V 입력 사용. 호스트 USB는 외부 전원 허브의 upstream에 연결. 보드의 USB 포트 전류 한도로 전체 센서를 급전하지 않음.</x:v>
      </x:c>
      <x:c r="H33" s="4" t="str">
        <x:v>https://github.com/JTech-CO/Smart-Cart-Wiring/blob/3ac3f1d793caba6494d27df6f0b9ba2eee8606d5/data/BOM.csv</x:v>
      </x:c>
    </x:row>
    <x:row r="34" ht="86" customHeight="1">
      <x:c r="A34" s="4" t="str">
        <x:v>H1</x:v>
      </x:c>
      <x:c r="B34" s="4" t="str">
        <x:v>C03</x:v>
      </x:c>
      <x:c r="C34" s="4" t="n">
        <x:v>1</x:v>
      </x:c>
      <x:c r="D34" s="4" t="str">
        <x:v>외부 전원 USB 허브</x:v>
      </x:c>
      <x:c r="E34" s="4" t="str">
        <x:v>4 downstream / powered USB</x:v>
      </x:c>
      <x:c r="F34" s="4" t="str">
        <x:v>candidate</x:v>
      </x:c>
      <x:c r="G34" s="4" t="str">
        <x:v>5V 외부 입력, 포트별 전류 제한, upstream VBUS 역급전 방지 제품 필요. USB 케이블은 완성품 사용. USB D±를 브레드보드에 배선하지 않음.</x:v>
      </x:c>
      <x:c r="H34" s="4" t="str">
        <x:v>https://github.com/JTech-CO/Smart-Cart-Wiring/blob/3ac3f1d793caba6494d27df6f0b9ba2eee8606d5/data/BOM.csv</x:v>
      </x:c>
    </x:row>
    <x:row r="35" ht="86" customHeight="1">
      <x:c r="A35" s="4" t="str">
        <x:v>U1</x:v>
      </x:c>
      <x:c r="B35" s="4" t="str">
        <x:v>C02</x:v>
      </x:c>
      <x:c r="C35" s="4" t="n">
        <x:v>1</x:v>
      </x:c>
      <x:c r="D35" s="4" t="str">
        <x:v>ESP32-DevKitC V4</x:v>
      </x:c>
      <x:c r="E35" s="4" t="str">
        <x:v>WROOM-32E / USB power only</x:v>
      </x:c>
      <x:c r="F35" s="4" t="str">
        <x:v>reference</x:v>
      </x:c>
      <x:c r="G35" s="4" t="str">
        <x:v>ESP32-WROOM-32E 기준. USB만 급전하고 5V 헤더는 미연결. GPIO16/17은 WROVER에 재사용 불가. 외부 보드로 배치하여 브레드보드 접점을 가리지 않음.</x:v>
      </x:c>
      <x:c r="H35" s="4" t="str">
        <x:v>https://github.com/JTech-CO/Smart-Cart-Wiring/blob/3ac3f1d793caba6494d27df6f0b9ba2eee8606d5/data/BOM.csv</x:v>
      </x:c>
    </x:row>
    <x:row r="36" ht="86" customHeight="1">
      <x:c r="A36" s="4" t="str">
        <x:v>A1</x:v>
      </x:c>
      <x:c r="B36" s="4" t="str">
        <x:v>C05</x:v>
      </x:c>
      <x:c r="C36" s="4" t="n">
        <x:v>1</x:v>
      </x:c>
      <x:c r="D36" s="4" t="str">
        <x:v>LiDAR USB 어댑터</x:v>
      </x:c>
      <x:c r="E36" s="4" t="str">
        <x:v>SLAMTEC C1 adapter</x:v>
      </x:c>
      <x:c r="F36" s="4" t="str">
        <x:v>reference</x:v>
      </x:c>
      <x:c r="G36" s="4" t="str">
        <x:v>C1용 정품 USB-UART 어댑터와 지정 케이블 사용. TX는 센서 RX, RX는 센서 TX로 교차.</x:v>
      </x:c>
      <x:c r="H36" s="4" t="str">
        <x:v>https://github.com/JTech-CO/Smart-Cart-Wiring/blob/3ac3f1d793caba6494d27df6f0b9ba2eee8606d5/data/BOM.csv</x:v>
      </x:c>
    </x:row>
    <x:row r="37" ht="86" customHeight="1">
      <x:c r="A37" s="4" t="str">
        <x:v>LD1</x:v>
      </x:c>
      <x:c r="B37" s="4" t="str">
        <x:v>C04</x:v>
      </x:c>
      <x:c r="C37" s="4" t="n">
        <x:v>1</x:v>
      </x:c>
      <x:c r="D37" s="4" t="str">
        <x:v>2D LiDAR</x:v>
      </x:c>
      <x:c r="E37" s="4" t="str">
        <x:v>SLAMTEC RPLIDAR C1</x:v>
      </x:c>
      <x:c r="F37" s="4" t="str">
        <x:v>reference</x:v>
      </x:c>
      <x:c r="G37" s="4" t="str">
        <x:v>RPLIDAR C1. 5V 전원과 3.3V UART를 구분. 센서 입력 4.8~5.2V 범위 검증.</x:v>
      </x:c>
      <x:c r="H37" s="4" t="str">
        <x:v>https://github.com/JTech-CO/Smart-Cart-Wiring/blob/3ac3f1d793caba6494d27df6f0b9ba2eee8606d5/data/BOM.csv</x:v>
      </x:c>
    </x:row>
    <x:row r="38" ht="86" customHeight="1">
      <x:c r="A38" s="4" t="str">
        <x:v>UWL</x:v>
      </x:c>
      <x:c r="B38" s="4" t="str">
        <x:v>C06</x:v>
      </x:c>
      <x:c r="C38" s="4" t="n">
        <x:v>1</x:v>
      </x:c>
      <x:c r="D38" s="4" t="str">
        <x:v>좌측 UWB 베이스</x:v>
      </x:c>
      <x:c r="E38" s="4" t="str">
        <x:v>Ai-Thinker BU04-Kit</x:v>
      </x:c>
      <x:c r="F38" s="4" t="str">
        <x:v>reference</x:v>
      </x:c>
      <x:c r="G38" s="4" t="str">
        <x:v>BU04-Kit의 USB(거리 데이터) Type-C 포트 사용. TTL/AT 포트와 혼동하지 않음. bare BU04 및 별도 Follow Package는 동일 핀맵으로 간주하지 않음. 2베이스+1태그 동시 측정 펌웨어는 별도 설정.</x:v>
      </x:c>
      <x:c r="H38" s="4" t="str">
        <x:v>https://github.com/JTech-CO/Smart-Cart-Wiring/blob/3ac3f1d793caba6494d27df6f0b9ba2eee8606d5/data/BOM.csv</x:v>
      </x:c>
    </x:row>
    <x:row r="39" ht="86" customHeight="1">
      <x:c r="A39" s="4" t="str">
        <x:v>UWR</x:v>
      </x:c>
      <x:c r="B39" s="4" t="str">
        <x:v>C06</x:v>
      </x:c>
      <x:c r="C39" s="4" t="n">
        <x:v>1</x:v>
      </x:c>
      <x:c r="D39" s="4" t="str">
        <x:v>우측 UWB 베이스</x:v>
      </x:c>
      <x:c r="E39" s="4" t="str">
        <x:v>Ai-Thinker BU04-Kit</x:v>
      </x:c>
      <x:c r="F39" s="4" t="str">
        <x:v>reference</x:v>
      </x:c>
      <x:c r="G39" s="4" t="str">
        <x:v>BU04-Kit의 USB(거리 데이터) Type-C 포트 사용. TTL/AT 포트와 혼동하지 않음. bare BU04 및 별도 Follow Package는 동일 핀맵으로 간주하지 않음. 2베이스+1태그 동시 측정 펌웨어는 별도 설정.</x:v>
      </x:c>
      <x:c r="H39" s="4" t="str">
        <x:v>https://github.com/JTech-CO/Smart-Cart-Wiring/blob/3ac3f1d793caba6494d27df6f0b9ba2eee8606d5/data/BOM.csv</x:v>
      </x:c>
    </x:row>
    <x:row r="40" ht="86" customHeight="1">
      <x:c r="A40" s="4" t="str">
        <x:v>TAG1</x:v>
      </x:c>
      <x:c r="B40" s="4" t="str">
        <x:v>C07</x:v>
      </x:c>
      <x:c r="C40" s="4" t="n">
        <x:v>1</x:v>
      </x:c>
      <x:c r="D40" s="4" t="str">
        <x:v>사용자 휴대 태그</x:v>
      </x:c>
      <x:c r="E40" s="4" t="str">
        <x:v>UWB tag / independent power</x:v>
      </x:c>
      <x:c r="F40" s="4" t="str">
        <x:v>conditional</x:v>
      </x:c>
      <x:c r="G40" s="4" t="str">
        <x:v>독립 배터리로 동작. 카트 배터리와 유선 연결하지 않음. 베이스와 태그의 역할 및 ID는 펌웨어에서 설정.</x:v>
      </x:c>
      <x:c r="H40" s="4" t="str">
        <x:v>https://github.com/JTech-CO/Smart-Cart-Wiring/blob/3ac3f1d793caba6494d27df6f0b9ba2eee8606d5/data/BOM.csv</x:v>
      </x:c>
    </x:row>
    <x:row r="41" ht="86" customHeight="1">
      <x:c r="A41" s="4" t="str">
        <x:v>IMU1</x:v>
      </x:c>
      <x:c r="B41" s="4" t="str">
        <x:v>C08</x:v>
      </x:c>
      <x:c r="C41" s="4" t="n">
        <x:v>1</x:v>
      </x:c>
      <x:c r="D41" s="4" t="str">
        <x:v>관성 센서</x:v>
      </x:c>
      <x:c r="E41" s="4" t="str">
        <x:v>BNO085 / SPI</x:v>
      </x:c>
      <x:c r="F41" s="4" t="str">
        <x:v>reference</x:v>
      </x:c>
      <x:c r="G41" s="4" t="str">
        <x:v>Adafruit BNO085 #4754 기준. P0/P1 모두 HIGH로 SPI 설정. 3Vo는 출력이므로 외부 전원과 병렬 연결하지 않음. INT/RST 포함.</x:v>
      </x:c>
      <x:c r="H41" s="4" t="str">
        <x:v>https://github.com/JTech-CO/Smart-Cart-Wiring/blob/3ac3f1d793caba6494d27df6f0b9ba2eee8606d5/data/BOM.csv</x:v>
      </x:c>
    </x:row>
    <x:row r="42" ht="86" customHeight="1">
      <x:c r="A42" s="4" t="str">
        <x:v>TOF1</x:v>
      </x:c>
      <x:c r="B42" s="4" t="str">
        <x:v>C09</x:v>
      </x:c>
      <x:c r="C42" s="4" t="n">
        <x:v>1</x:v>
      </x:c>
      <x:c r="D42" s="4" t="str">
        <x:v>근거리 거리 센서</x:v>
      </x:c>
      <x:c r="E42" s="4" t="str">
        <x:v>VL53L1X / I2C 0x29</x:v>
      </x:c>
      <x:c r="F42" s="4" t="str">
        <x:v>reference</x:v>
      </x:c>
      <x:c r="G42" s="4" t="str">
        <x:v>Pololu VL53L1X carrier #3415 기준. XSHUT, GPIO1, VDD는 미연결. 보드의 I2C 풀업 사용. XSHUT을 추가할 때는 2.8V 측 제약 확인.</x:v>
      </x:c>
      <x:c r="H42" s="4" t="str">
        <x:v>https://github.com/JTech-CO/Smart-Cart-Wiring/blob/3ac3f1d793caba6494d27df6f0b9ba2eee8606d5/data/BOM.csv</x:v>
      </x:c>
    </x:row>
    <x:row r="43" ht="86" customHeight="1">
      <x:c r="A43" s="4" t="str">
        <x:v>R1</x:v>
      </x:c>
      <x:c r="B43" s="4" t="str">
        <x:v>B02</x:v>
      </x:c>
      <x:c r="C43" s="4" t="n">
        <x:v>1</x:v>
      </x:c>
      <x:c r="D43" s="4" t="str">
        <x:v>R1 1kΩ</x:v>
      </x:c>
      <x:c r="E43" s="4" t="str">
        <x:v>1kΩ / 0.25W</x:v>
      </x:c>
      <x:c r="F43" s="4" t="str">
        <x:v>reference</x:v>
      </x:c>
      <x:c r="G43" s="4" t="str"/>
      <x:c r="H43" s="4" t="str">
        <x:v>https://github.com/JTech-CO/Smart-Cart-Wiring/blob/3ac3f1d793caba6494d27df6f0b9ba2eee8606d5/data/BOM.csv</x:v>
      </x:c>
    </x:row>
    <x:row r="44" ht="86" customHeight="1">
      <x:c r="A44" s="4" t="str">
        <x:v>R2</x:v>
      </x:c>
      <x:c r="B44" s="4" t="str">
        <x:v>B02</x:v>
      </x:c>
      <x:c r="C44" s="4" t="n">
        <x:v>1</x:v>
      </x:c>
      <x:c r="D44" s="4" t="str">
        <x:v>R2 1kΩ</x:v>
      </x:c>
      <x:c r="E44" s="4" t="str">
        <x:v>1kΩ / 0.25W</x:v>
      </x:c>
      <x:c r="F44" s="4" t="str">
        <x:v>reference</x:v>
      </x:c>
      <x:c r="G44" s="4" t="str"/>
      <x:c r="H44" s="4" t="str">
        <x:v>https://github.com/JTech-CO/Smart-Cart-Wiring/blob/3ac3f1d793caba6494d27df6f0b9ba2eee8606d5/data/BOM.csv</x:v>
      </x:c>
    </x:row>
    <x:row r="45" ht="86" customHeight="1">
      <x:c r="A45" s="4" t="str">
        <x:v>R3</x:v>
      </x:c>
      <x:c r="B45" s="4" t="str">
        <x:v>B03</x:v>
      </x:c>
      <x:c r="C45" s="4" t="n">
        <x:v>1</x:v>
      </x:c>
      <x:c r="D45" s="4" t="str">
        <x:v>R3 220Ω</x:v>
      </x:c>
      <x:c r="E45" s="4" t="str">
        <x:v>220Ω / 0.25W</x:v>
      </x:c>
      <x:c r="F45" s="4" t="str">
        <x:v>reference</x:v>
      </x:c>
      <x:c r="G45" s="4" t="str"/>
      <x:c r="H45" s="4" t="str">
        <x:v>https://github.com/JTech-CO/Smart-Cart-Wiring/blob/3ac3f1d793caba6494d27df6f0b9ba2eee8606d5/data/BOM.csv</x:v>
      </x:c>
    </x:row>
    <x:row r="46" ht="86" customHeight="1">
      <x:c r="A46" s="4" t="str">
        <x:v>R4</x:v>
      </x:c>
      <x:c r="B46" s="4" t="str">
        <x:v>B03</x:v>
      </x:c>
      <x:c r="C46" s="4" t="n">
        <x:v>1</x:v>
      </x:c>
      <x:c r="D46" s="4" t="str">
        <x:v>R4 220Ω</x:v>
      </x:c>
      <x:c r="E46" s="4" t="str">
        <x:v>220Ω / 0.25W</x:v>
      </x:c>
      <x:c r="F46" s="4" t="str">
        <x:v>reference</x:v>
      </x:c>
      <x:c r="G46" s="4" t="str"/>
      <x:c r="H46" s="4" t="str">
        <x:v>https://github.com/JTech-CO/Smart-Cart-Wiring/blob/3ac3f1d793caba6494d27df6f0b9ba2eee8606d5/data/BOM.csv</x:v>
      </x:c>
    </x:row>
    <x:row r="47" ht="86" customHeight="1">
      <x:c r="A47" s="4" t="str">
        <x:v>R5</x:v>
      </x:c>
      <x:c r="B47" s="4" t="str">
        <x:v>B04</x:v>
      </x:c>
      <x:c r="C47" s="4" t="n">
        <x:v>1</x:v>
      </x:c>
      <x:c r="D47" s="4" t="str">
        <x:v>R5 10kΩ</x:v>
      </x:c>
      <x:c r="E47" s="4" t="str">
        <x:v>10kΩ / 0.25W</x:v>
      </x:c>
      <x:c r="F47" s="4" t="str">
        <x:v>reference</x:v>
      </x:c>
      <x:c r="G47" s="4" t="str"/>
      <x:c r="H47" s="4" t="str">
        <x:v>https://github.com/JTech-CO/Smart-Cart-Wiring/blob/3ac3f1d793caba6494d27df6f0b9ba2eee8606d5/data/BOM.csv</x:v>
      </x:c>
    </x:row>
    <x:row r="48" ht="86" customHeight="1">
      <x:c r="A48" s="4" t="str">
        <x:v>R6</x:v>
      </x:c>
      <x:c r="B48" s="4" t="str">
        <x:v>B04</x:v>
      </x:c>
      <x:c r="C48" s="4" t="n">
        <x:v>1</x:v>
      </x:c>
      <x:c r="D48" s="4" t="str">
        <x:v>R6 10kΩ</x:v>
      </x:c>
      <x:c r="E48" s="4" t="str">
        <x:v>10kΩ / 0.25W</x:v>
      </x:c>
      <x:c r="F48" s="4" t="str">
        <x:v>reference</x:v>
      </x:c>
      <x:c r="G48" s="4" t="str"/>
      <x:c r="H48" s="4" t="str">
        <x:v>https://github.com/JTech-CO/Smart-Cart-Wiring/blob/3ac3f1d793caba6494d27df6f0b9ba2eee8606d5/data/BOM.csv</x:v>
      </x:c>
    </x:row>
    <x:row r="49" ht="86" customHeight="1">
      <x:c r="A49" s="4" t="str">
        <x:v>U2</x:v>
      </x:c>
      <x:c r="B49" s="4" t="str">
        <x:v>B05</x:v>
      </x:c>
      <x:c r="C49" s="4" t="n">
        <x:v>1</x:v>
      </x:c>
      <x:c r="D49" s="4" t="str">
        <x:v>서보 PWM 레벨 버퍼</x:v>
      </x:c>
      <x:c r="E49" s="4" t="str">
        <x:v>SN74AHCT125N / DIP-14</x:v>
      </x:c>
      <x:c r="F49" s="4" t="str">
        <x:v>reference</x:v>
      </x:c>
      <x:c r="G49" s="4" t="str">
        <x:v>SN74AHCT125N DIP-14. 5V 전원, 3.3V TTL 입력. 미사용 출력 8/11번은 NC, 미사용 입력은 GND, 해당 OE는 5V. 핀1 표시 방향 확인.</x:v>
      </x:c>
      <x:c r="H49" s="4" t="str">
        <x:v>https://github.com/JTech-CO/Smart-Cart-Wiring/blob/3ac3f1d793caba6494d27df6f0b9ba2eee8606d5/data/BOM.csv</x:v>
      </x:c>
    </x:row>
    <x:row r="50" ht="86" customHeight="1">
      <x:c r="A50" s="4" t="str">
        <x:v>C1</x:v>
      </x:c>
      <x:c r="B50" s="4" t="str">
        <x:v>B06</x:v>
      </x:c>
      <x:c r="C50" s="4" t="n">
        <x:v>1</x:v>
      </x:c>
      <x:c r="D50" s="4" t="str">
        <x:v>버퍼 디커플링</x:v>
      </x:c>
      <x:c r="E50" s="4" t="str">
        <x:v>100nF / ≥16V</x:v>
      </x:c>
      <x:c r="F50" s="4" t="str">
        <x:v>reference</x:v>
      </x:c>
      <x:c r="G50" s="4" t="str">
        <x:v>U2 14-7번 전원 가까이.</x:v>
      </x:c>
      <x:c r="H50" s="4" t="str">
        <x:v>https://github.com/JTech-CO/Smart-Cart-Wiring/blob/3ac3f1d793caba6494d27df6f0b9ba2eee8606d5/data/BOM.csv</x:v>
      </x:c>
    </x:row>
    <x:row r="51" ht="86" customHeight="1">
      <x:c r="A51" s="4" t="str">
        <x:v>BB1</x:v>
      </x:c>
      <x:c r="B51" s="4" t="str">
        <x:v>B01</x:v>
      </x:c>
      <x:c r="C51" s="4" t="n">
        <x:v>1</x:v>
      </x:c>
      <x:c r="D51" s="4" t="str">
        <x:v>400 tie-point 브레드보드</x:v>
      </x:c>
      <x:c r="E51" s="4" t="str">
        <x:v>3.3V sensors + 5V buffer ONLY</x:v>
      </x:c>
      <x:c r="F51" s="4" t="str">
        <x:v>reference</x:v>
      </x:c>
      <x:c r="G51" s="4" t="str">
        <x:v>300개 본체 접점(30열 × 10행)과 100개 전원 레일 접점(25개 × 4줄). 레일은 각 줄 왼쪽부터 별도로 1~25번. a-e / f-j는 독립 5접점 스트립. 상부 +레일은 3.3V, 하부 +레일은 5V. 두 -레일만 공통. 모든 레일은 실물 도통 확인. 센서·로직 실험용이며 주행 차량에는 납땜/잠금 커넥터로 이전.</x:v>
      </x:c>
      <x:c r="H51" s="4" t="str">
        <x:v>https://github.com/JTech-CO/Smart-Cart-Wiring/blob/3ac3f1d793caba6494d27df6f0b9ba2eee8606d5/data/BOM.csv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7e216e26f20c45d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3" hidden="0" customWidth="1"/>
    <x:col min="4" max="4" width="11" hidden="0" customWidth="1"/>
    <x:col min="5" max="5" width="38" hidden="0" customWidth="1"/>
    <x:col min="6" max="6" width="26" hidden="0" customWidth="1"/>
    <x:col min="7" max="7" width="65" hidden="0" customWidth="1"/>
    <x:col min="8" max="8" width="45" hidden="0" customWidth="1"/>
  </x:cols>
  <x:sheetData>
    <x:row r="1" ht="22" customHeight="1">
      <x:c r="A1" s="9" t="str">
        <x:v>발주 전 해소할 항목</x:v>
      </x:c>
      <x:c r="B1" s="9"/>
      <x:c r="C1" s="9"/>
      <x:c r="D1" s="9"/>
      <x:c r="E1" s="9"/>
      <x:c r="F1" s="9"/>
      <x:c r="G1" s="9"/>
      <x:c r="H1" s="9"/>
    </x:row>
    <x:row r="2" ht="22" customHeight="1">
      <x:c r="A2" s="9"/>
      <x:c r="B2" s="9"/>
      <x:c r="C2" s="9"/>
      <x:c r="D2" s="9"/>
      <x:c r="E2" s="9"/>
      <x:c r="F2" s="9"/>
      <x:c r="G2" s="9"/>
      <x:c r="H2" s="9"/>
    </x:row>
    <x:row r="3" ht="32" customHeight="1">
      <x:c r="A3" s="12" t="str">
        <x:v>링크가 없다고 불필요한 부품이 아닙니다. 국내 재고·정격·기구·하네스 미정 사항을 닫아야 합니다.</x:v>
      </x:c>
      <x:c r="B3" s="12"/>
      <x:c r="C3" s="12"/>
      <x:c r="D3" s="12"/>
      <x:c r="E3" s="12"/>
      <x:c r="F3" s="12"/>
      <x:c r="G3" s="12"/>
      <x:c r="H3" s="12"/>
    </x:row>
    <x:row r="4">
      <x:c r="A4" s="4"/>
      <x:c r="B4" s="4"/>
      <x:c r="C4" s="4"/>
      <x:c r="D4" s="4"/>
      <x:c r="E4" s="4"/>
      <x:c r="F4" s="4"/>
      <x:c r="G4" s="4"/>
      <x:c r="H4" s="4"/>
    </x:row>
    <x:row r="5" ht="34" customHeight="1">
      <x:c r="A5" s="15" t="str">
        <x:v>ID</x:v>
      </x:c>
      <x:c r="B5" s="15" t="str">
        <x:v>부품</x:v>
      </x:c>
      <x:c r="C5" s="15" t="str">
        <x:v>구성</x:v>
      </x:c>
      <x:c r="D5" s="15" t="str">
        <x:v>필요 수량</x:v>
      </x:c>
      <x:c r="E5" s="15" t="str">
        <x:v>규격</x:v>
      </x:c>
      <x:c r="F5" s="15" t="str">
        <x:v>보류 사유</x:v>
      </x:c>
      <x:c r="G5" s="15" t="str">
        <x:v>해소할 사항</x:v>
      </x:c>
      <x:c r="H5" s="15" t="str">
        <x:v>원본 URL</x:v>
      </x:c>
    </x:row>
    <x:row r="6" ht="78" customHeight="1">
      <x:c r="A6" s="4" t="str">
        <x:v>C01</x:v>
      </x:c>
      <x:c r="B6" s="4" t="str">
        <x:v>Orange Pi 4 Pro</x:v>
      </x:c>
      <x:c r="C6" s="4" t="str">
        <x:v>기본</x:v>
      </x:c>
      <x:c r="D6" s="4" t="n">
        <x:v>1</x:v>
      </x:c>
      <x:c r="E6" s="4" t="str">
        <x:v>5V Type-C 입력; RAM/OS 이미지 확정</x:v>
      </x:c>
      <x:c r="F6" s="4" t="str">
        <x:v>사양·조달 보류</x:v>
      </x:c>
      <x:c r="G6" s="4" t="str">
        <x:v>정확한 모델의 국내 출고를 확인하지 못함. 4B·Pi 5로 임의 치환 금지.</x:v>
      </x:c>
      <x:c r="H6" s="4" t="str">
        <x:v>https://github.com/JTech-CO/Smart-Cart-Wiring/blob/3ac3f1d793caba6494d27df6f0b9ba2eee8606d5/data/BOM.csv</x:v>
      </x:c>
    </x:row>
    <x:row r="7" ht="78" customHeight="1">
      <x:c r="A7" s="4" t="str">
        <x:v>C02</x:v>
      </x:c>
      <x:c r="B7" s="4" t="str">
        <x:v>ESP32-DevKitC V4 WROOM-32E</x:v>
      </x:c>
      <x:c r="C7" s="4" t="str">
        <x:v>기본</x:v>
      </x:c>
      <x:c r="D7" s="4" t="n">
        <x:v>1</x:v>
      </x:c>
      <x:c r="E7" s="4" t="str">
        <x:v>정품 38핀 V4; micro-B; USB 급전</x:v>
      </x:c>
      <x:c r="F7" s="4" t="str">
        <x:v>사양·조달 보류</x:v>
      </x:c>
      <x:c r="G7" s="4" t="str">
        <x:v>예비 1개. 30핀 클론/WROVER와 핀맵 다름. 국내 재고 확인 전 보류.</x:v>
      </x:c>
      <x:c r="H7" s="4" t="str">
        <x:v>https://github.com/JTech-CO/Smart-Cart-Wiring/blob/3ac3f1d793caba6494d27df6f0b9ba2eee8606d5/data/BOM.csv</x:v>
      </x:c>
    </x:row>
    <x:row r="8" ht="78" customHeight="1">
      <x:c r="A8" s="4" t="str">
        <x:v>C03</x:v>
      </x:c>
      <x:c r="B8" s="4" t="str">
        <x:v>외부 전원 USB 허브</x:v>
      </x:c>
      <x:c r="C8" s="4" t="str">
        <x:v>기본</x:v>
      </x:c>
      <x:c r="D8" s="4" t="n">
        <x:v>1</x:v>
      </x:c>
      <x:c r="E8" s="4" t="str">
        <x:v>독립 5V 입력; downstream 4포트 이상; upstream 역급전 차단</x:v>
      </x:c>
      <x:c r="F8" s="4" t="str">
        <x:v>사양·조달 보류</x:v>
      </x:c>
      <x:c r="G8" s="4" t="str">
        <x:v>ESP32, C1, UWB L/R로 4포트 사용. 포트별 전류·기동 부하 확인.</x:v>
      </x:c>
      <x:c r="H8" s="4" t="str">
        <x:v>https://github.com/JTech-CO/Smart-Cart-Wiring/blob/3ac3f1d793caba6494d27df6f0b9ba2eee8606d5/data/BOM.csv</x:v>
      </x:c>
    </x:row>
    <x:row r="9" ht="78" customHeight="1">
      <x:c r="A9" s="4" t="str">
        <x:v>C05</x:v>
      </x:c>
      <x:c r="B9" s="4" t="str">
        <x:v>C1 전용 USB-UART 어댑터</x:v>
      </x:c>
      <x:c r="C9" s="4" t="str">
        <x:v>기본</x:v>
      </x:c>
      <x:c r="D9" s="4" t="n">
        <x:v>1</x:v>
      </x:c>
      <x:c r="E9" s="4" t="str">
        <x:v>C1 통신 속도와 커넥터 대응 정품</x:v>
      </x:c>
      <x:c r="F9" s="4" t="str">
        <x:v>동봉·조달 보류</x:v>
      </x:c>
      <x:c r="G9" s="4" t="str">
        <x:v>C04 번들 포함 시 별도 구매 0. 일반 USB-TTL로 무검증 대체 금지.</x:v>
      </x:c>
      <x:c r="H9" s="4" t="str">
        <x:v>https://github.com/JTech-CO/Smart-Cart-Wiring/blob/3ac3f1d793caba6494d27df6f0b9ba2eee8606d5/data/BOM.csv</x:v>
      </x:c>
    </x:row>
    <x:row r="10" ht="78" customHeight="1">
      <x:c r="A10" s="4" t="str">
        <x:v>C06</x:v>
      </x:c>
      <x:c r="B10" s="4" t="str">
        <x:v>BU04-Kit 카트 베이스</x:v>
      </x:c>
      <x:c r="C10" s="4" t="str">
        <x:v>기본</x:v>
      </x:c>
      <x:c r="D10" s="4" t="n">
        <x:v>2</x:v>
      </x:c>
      <x:c r="E10" s="4" t="str">
        <x:v>좌/우 각 1; 거리 데이터 USB Type-C</x:v>
      </x:c>
      <x:c r="F10" s="4" t="str">
        <x:v>사양·조달 보류</x:v>
      </x:c>
      <x:c r="G10" s="4" t="str">
        <x:v>국내 재고 미확인. bare BU04·Follow Package와 동일 제품으로 간주하지 않음.</x:v>
      </x:c>
      <x:c r="H10" s="4" t="str">
        <x:v>https://github.com/JTech-CO/Smart-Cart-Wiring/blob/3ac3f1d793caba6494d27df6f0b9ba2eee8606d5/data/BOM.csv</x:v>
      </x:c>
    </x:row>
    <x:row r="11" ht="78" customHeight="1">
      <x:c r="A11" s="4" t="str">
        <x:v>C07</x:v>
      </x:c>
      <x:c r="B11" s="4" t="str">
        <x:v>호환 UWB 사용자 태그</x:v>
      </x:c>
      <x:c r="C11" s="4" t="str">
        <x:v>기본</x:v>
      </x:c>
      <x:c r="D11" s="4" t="n">
        <x:v>1</x:v>
      </x:c>
      <x:c r="E11" s="4" t="str">
        <x:v>C06과 펌웨어/역할/ID 호환; 독립 급전</x:v>
      </x:c>
      <x:c r="F11" s="4" t="str">
        <x:v>사양·조달 보류</x:v>
      </x:c>
      <x:c r="G11" s="4" t="str">
        <x:v>베이스 2 + 태그 1 = 무선 역할 3개. 태그 포함 세트를 샀다면 동봉 차감.</x:v>
      </x:c>
      <x:c r="H11" s="4" t="str">
        <x:v>https://github.com/JTech-CO/Smart-Cart-Wiring/blob/3ac3f1d793caba6494d27df6f0b9ba2eee8606d5/data/BOM.csv</x:v>
      </x:c>
    </x:row>
    <x:row r="12" ht="78" customHeight="1">
      <x:c r="A12" s="4" t="str">
        <x:v>C09</x:v>
      </x:c>
      <x:c r="B12" s="4" t="str">
        <x:v>VL53L1X ToF 브레이크아웃</x:v>
      </x:c>
      <x:c r="C12" s="4" t="str">
        <x:v>기본</x:v>
      </x:c>
      <x:c r="D12" s="4" t="n">
        <x:v>2</x:v>
      </x:c>
      <x:c r="E12" s="4" t="str">
        <x:v>Pololu #3415; 하향 좌/우</x:v>
      </x:c>
      <x:c r="F12" s="4" t="str">
        <x:v>회로보완 후 발주</x:v>
      </x:c>
      <x:c r="G12" s="4" t="str">
        <x:v>필요 2 + 예비 1 = 3. B1 회로는 1개만 지원; C10/C11 또는 XSHUT 설계 필요.</x:v>
      </x:c>
      <x:c r="H12" s="4" t="str">
        <x:v>https://github.com/JTech-CO/Smart-Cart-Wiring/blob/3ac3f1d793caba6494d27df6f0b9ba2eee8606d5/data/BOM.csv</x:v>
      </x:c>
    </x:row>
    <x:row r="13" ht="78" customHeight="1">
      <x:c r="A13" s="4" t="str">
        <x:v>C10</x:v>
      </x:c>
      <x:c r="B13" s="4" t="str">
        <x:v>I2C 멀티플렉서</x:v>
      </x:c>
      <x:c r="C13" s="4" t="str">
        <x:v>ToF보완</x:v>
      </x:c>
      <x:c r="D13" s="4" t="n">
        <x:v>1</x:v>
      </x:c>
      <x:c r="E13" s="4" t="str">
        <x:v>Adafruit PCA9548 #5626; 3.3V 센서 분리</x:v>
      </x:c>
      <x:c r="F13" s="4" t="str">
        <x:v>설계변경 후 발주</x:v>
      </x:c>
      <x:c r="G13" s="4" t="str">
        <x:v>원본 부품 아님. 동일 주소 ToF 두 개를 채널 분리하는 제안. XSHUT 방식 선택 시 이 행과 C11 선택을 0으로 변경.</x:v>
      </x:c>
      <x:c r="H13" s="4" t="str">
        <x:v>https://github.com/JTech-CO/Smart-Cart-Wiring/blob/3ac3f1d793caba6494d27df6f0b9ba2eee8606d5/docs/ASSEMBLY-KR.md</x:v>
      </x:c>
    </x:row>
    <x:row r="14" ht="78" customHeight="1">
      <x:c r="A14" s="4" t="str">
        <x:v>C11</x:v>
      </x:c>
      <x:c r="B14" s="4" t="str">
        <x:v>JST-SH 1.0mm 4핀 분기 하네스</x:v>
      </x:c>
      <x:c r="C14" s="4" t="str">
        <x:v>ToF보완</x:v>
      </x:c>
      <x:c r="D14" s="4" t="n">
        <x:v>2</x:v>
      </x:c>
      <x:c r="E14" s="4" t="str">
        <x:v>PCA9548 하위 포트 → Pololu 헤더; 실제 핀 순서</x:v>
      </x:c>
      <x:c r="F14" s="4" t="str">
        <x:v>사양·조달 보류</x:v>
      </x:c>
      <x:c r="G14" s="4" t="str">
        <x:v>조립품/피그테일 + 적합 헤더로 2분기. 양끝 SH인 케이블만 사면 Pololu 헤더에 직접 연결 안 됨.</x:v>
      </x:c>
      <x:c r="H14" s="4" t="str">
        <x:v>https://github.com/JTech-CO/Smart-Cart-Wiring/blob/3ac3f1d793caba6494d27df6f0b9ba2eee8606d5/docs/ASSEMBLY-KR.md</x:v>
      </x:c>
    </x:row>
    <x:row r="15" ht="78" customHeight="1">
      <x:c r="A15" s="4" t="str">
        <x:v>C12</x:v>
      </x:c>
      <x:c r="B15" s="4" t="str">
        <x:v>microSD 저장장치</x:v>
      </x:c>
      <x:c r="C15" s="4" t="str">
        <x:v>기본</x:v>
      </x:c>
      <x:c r="D15" s="4" t="n">
        <x:v>1</x:v>
      </x:c>
      <x:c r="E15" s="4" t="str">
        <x:v>64GB 제안; Orange Pi 이미지와 부팅 호환</x:v>
      </x:c>
      <x:c r="F15" s="4" t="str">
        <x:v>사양·조달 보류</x:v>
      </x:c>
      <x:c r="G15" s="4" t="str">
        <x:v>용량은 제안값. 예비 OS 복제 카드 1. 정품 국내 재고/내구성 확인.</x:v>
      </x:c>
      <x:c r="H15" s="4" t="str">
        <x:v>https://github.com/JTech-CO/Smart-Cart-Wiring/blob/3ac3f1d793caba6494d27df6f0b9ba2eee8606d5/docs/ASSEMBLY-KR.md</x:v>
      </x:c>
    </x:row>
    <x:row r="16" ht="78" customHeight="1">
      <x:c r="A16" s="4" t="str">
        <x:v>C13</x:v>
      </x:c>
      <x:c r="B16" s="4" t="str">
        <x:v>SBC 방열·냉각 세트</x:v>
      </x:c>
      <x:c r="C16" s="4" t="str">
        <x:v>기본</x:v>
      </x:c>
      <x:c r="D16" s="4" t="n">
        <x:v>1</x:v>
      </x:c>
      <x:c r="E16" s="4" t="str">
        <x:v>Orange Pi 4 Pro 치수/팬 전압 일치</x:v>
      </x:c>
      <x:c r="F16" s="4" t="str">
        <x:v>사양·조달 보류</x:v>
      </x:c>
      <x:c r="G16" s="4" t="str">
        <x:v>팬·방열판·패드·체결물의 동봉 범위 확인. 유사 보드용 케이스 금지.</x:v>
      </x:c>
      <x:c r="H16" s="4" t="str">
        <x:v>https://github.com/JTech-CO/Smart-Cart-Wiring/blob/3ac3f1d793caba6494d27df6f0b9ba2eee8606d5/docs/ASSEMBLY-KR.md</x:v>
      </x:c>
    </x:row>
    <x:row r="17" ht="78" customHeight="1">
      <x:c r="A17" s="4" t="str">
        <x:v>C14</x:v>
      </x:c>
      <x:c r="B17" s="4" t="str">
        <x:v>사용자 태그 독립 전원</x:v>
      </x:c>
      <x:c r="C17" s="4" t="str">
        <x:v>기본</x:v>
      </x:c>
      <x:c r="D17" s="4" t="n">
        <x:v>1</x:v>
      </x:c>
      <x:c r="E17" s="4" t="str">
        <x:v>보호회로 포함; 태그 전압과 저부하 유지 대응</x:v>
      </x:c>
      <x:c r="F17" s="4" t="str">
        <x:v>사양·조달 보류</x:v>
      </x:c>
      <x:c r="G17" s="4" t="str">
        <x:v>태그 내장 배터리 포함 시 구매 차감. 전원 자동꺼짐 및 충전 방식 확인.</x:v>
      </x:c>
      <x:c r="H17" s="4" t="str">
        <x:v>https://github.com/JTech-CO/Smart-Cart-Wiring/blob/3ac3f1d793caba6494d27df6f0b9ba2eee8606d5/docs/ASSEMBLY-KR.md</x:v>
      </x:c>
    </x:row>
    <x:row r="18" ht="78" customHeight="1">
      <x:c r="A18" s="4" t="str">
        <x:v>E01</x:v>
      </x:c>
      <x:c r="B18" s="4" t="str">
        <x:v>LiFePO4 배터리 팩</x:v>
      </x:c>
      <x:c r="C18" s="4" t="str">
        <x:v>기본</x:v>
      </x:c>
      <x:c r="D18" s="4" t="n">
        <x:v>1</x:v>
      </x:c>
      <x:c r="E18" s="4" t="str">
        <x:v>24V class / 108Ah 목표; BMS 포함</x:v>
      </x:c>
      <x:c r="F18" s="4" t="str">
        <x:v>사양·조달 보류</x:v>
      </x:c>
      <x:c r="G18" s="4" t="str">
        <x:v>실모델/셀 직렬 수/완충 전압/허용 전류 미확정. 25.2V 리튬이온 108Ah는 대체품 아님.</x:v>
      </x:c>
      <x:c r="H18" s="4" t="str">
        <x:v>https://github.com/JTech-CO/Smart-Cart-Wiring/blob/3ac3f1d793caba6494d27df6f0b9ba2eee8606d5/data/BOM.csv</x:v>
      </x:c>
    </x:row>
    <x:row r="19" ht="78" customHeight="1">
      <x:c r="A19" s="4" t="str">
        <x:v>E02</x:v>
      </x:c>
      <x:c r="B19" s="4" t="str">
        <x:v>배터리 지정 충전기</x:v>
      </x:c>
      <x:c r="C19" s="4" t="str">
        <x:v>기본</x:v>
      </x:c>
      <x:c r="D19" s="4" t="n">
        <x:v>1</x:v>
      </x:c>
      <x:c r="E19" s="4" t="str">
        <x:v>E01 제조사 승인 CC/CV 충전기</x:v>
      </x:c>
      <x:c r="F19" s="4" t="str">
        <x:v>사양·조달 보류</x:v>
      </x:c>
      <x:c r="G19" s="4" t="str">
        <x:v>배터리와 세트 제공 시 차감. 전압·충전 전류·역극성 보호·AC 전원선 확인.</x:v>
      </x:c>
      <x:c r="H19" s="4" t="str">
        <x:v>https://github.com/JTech-CO/Smart-Cart-Wiring/blob/3ac3f1d793caba6494d27df6f0b9ba2eee8606d5/docs/ASSEMBLY-KR.md</x:v>
      </x:c>
    </x:row>
    <x:row r="20" ht="78" customHeight="1">
      <x:c r="A20" s="4" t="str">
        <x:v>E03</x:v>
      </x:c>
      <x:c r="B20" s="4" t="str">
        <x:v>메인 DC 차단 스위치</x:v>
      </x:c>
      <x:c r="C20" s="4" t="str">
        <x:v>기본</x:v>
      </x:c>
      <x:c r="D20" s="4" t="n">
        <x:v>1</x:v>
      </x:c>
      <x:c r="E20" s="4" t="str">
        <x:v>완충 전압·연속전류·DC 부하 차단능력 검증</x:v>
      </x:c>
      <x:c r="F20" s="4" t="str">
        <x:v>사양·조달 보류</x:v>
      </x:c>
      <x:c r="G20" s="4" t="str">
        <x:v>AC 정격을 DC 부하 차단 정격으로 대체하지 않음.</x:v>
      </x:c>
      <x:c r="H20" s="4" t="str">
        <x:v>https://github.com/JTech-CO/Smart-Cart-Wiring/blob/3ac3f1d793caba6494d27df6f0b9ba2eee8606d5/data/BOM.csv</x:v>
      </x:c>
    </x:row>
    <x:row r="21" ht="78" customHeight="1">
      <x:c r="A21" s="4" t="str">
        <x:v>E04</x:v>
      </x:c>
      <x:c r="B21" s="4" t="str">
        <x:v>절연 커버 양극 전원 버스</x:v>
      </x:c>
      <x:c r="C21" s="4" t="str">
        <x:v>기본</x:v>
      </x:c>
      <x:c r="D21" s="4" t="n">
        <x:v>1</x:v>
      </x:c>
      <x:c r="E21" s="4" t="str">
        <x:v>최소 4회로; 주전류 정격 확보</x:v>
      </x:c>
      <x:c r="F21" s="4" t="str">
        <x:v>사양·조달 보류</x:v>
      </x:c>
      <x:c r="G21" s="4" t="str">
        <x:v>배터리/접촉기/DC1/DC2. 커버와 접속 볼트 포함 여부 확인.</x:v>
      </x:c>
      <x:c r="H21" s="4" t="str">
        <x:v>https://github.com/JTech-CO/Smart-Cart-Wiring/blob/3ac3f1d793caba6494d27df6f0b9ba2eee8606d5/data/BOM.csv</x:v>
      </x:c>
    </x:row>
    <x:row r="22" ht="78" customHeight="1">
      <x:c r="A22" s="4" t="str">
        <x:v>E05</x:v>
      </x:c>
      <x:c r="B22" s="4" t="str">
        <x:v>절연 커버 공통 음극 버스</x:v>
      </x:c>
      <x:c r="C22" s="4" t="str">
        <x:v>기본</x:v>
      </x:c>
      <x:c r="D22" s="4" t="n">
        <x:v>1</x:v>
      </x:c>
      <x:c r="E22" s="4" t="str">
        <x:v>B1 최소 12단자; 귀환 총전류 정격 확보</x:v>
      </x:c>
      <x:c r="F22" s="4" t="str">
        <x:v>사양·조달 보류</x:v>
      </x:c>
      <x:c r="G22" s="4" t="str">
        <x:v>각 전력 귀환 분리. 여러 링 단자를 한 볼트에 무제한 적층하지 않음.</x:v>
      </x:c>
      <x:c r="H22" s="4" t="str">
        <x:v>https://github.com/JTech-CO/Smart-Cart-Wiring/blob/3ac3f1d793caba6494d27df6f0b9ba2eee8606d5/data/BOM.csv</x:v>
      </x:c>
    </x:row>
    <x:row r="23" ht="78" customHeight="1">
      <x:c r="A23" s="4" t="str">
        <x:v>E06</x:v>
      </x:c>
      <x:c r="B23" s="4" t="str">
        <x:v>DC 접촉기 + NO 보조접점</x:v>
      </x:c>
      <x:c r="C23" s="4" t="str">
        <x:v>기본</x:v>
      </x:c>
      <x:c r="D23" s="4" t="n">
        <x:v>1</x:v>
      </x:c>
      <x:c r="E23" s="4" t="str">
        <x:v>12V 코일; 주접점 DC정격; 별도 NO 13-14</x:v>
      </x:c>
      <x:c r="F23" s="4" t="str">
        <x:v>사양·조달 보류</x:v>
      </x:c>
      <x:c r="G23" s="4" t="str">
        <x:v>세트에 보조접점 미포함이면 별도 부품 필요. 12V 컨버터는 기본 구성에서도 코일을 공급.</x:v>
      </x:c>
      <x:c r="H23" s="4" t="str">
        <x:v>https://github.com/JTech-CO/Smart-Cart-Wiring/blob/3ac3f1d793caba6494d27df6f0b9ba2eee8606d5/data/BOM.csv</x:v>
      </x:c>
    </x:row>
    <x:row r="24" ht="78" customHeight="1">
      <x:c r="A24" s="4" t="str">
        <x:v>E07</x:v>
      </x:c>
      <x:c r="B24" s="4" t="str">
        <x:v>접촉기 코일 서지 억제기</x:v>
      </x:c>
      <x:c r="C24" s="4" t="str">
        <x:v>기본</x:v>
      </x:c>
      <x:c r="D24" s="4" t="n">
        <x:v>1</x:v>
      </x:c>
      <x:c r="E24" s="4" t="str">
        <x:v>E06 제조사 지정; 해제시간 검증</x:v>
      </x:c>
      <x:c r="F24" s="4" t="str">
        <x:v>사양·조달 보류</x:v>
      </x:c>
      <x:c r="G24" s="4" t="str">
        <x:v>내장 억제기 포함이면 차감. 임의 플라이백 다이오드로 대체하지 않음.</x:v>
      </x:c>
      <x:c r="H24" s="4" t="str">
        <x:v>https://github.com/JTech-CO/Smart-Cart-Wiring/blob/3ac3f1d793caba6494d27df6f0b9ba2eee8606d5/data/BOM.csv</x:v>
      </x:c>
    </x:row>
    <x:row r="25" ht="78" customHeight="1">
      <x:c r="A25" s="4" t="str">
        <x:v>E08</x:v>
      </x:c>
      <x:c r="B25" s="4" t="str">
        <x:v>래칭 NC 비상정지 버튼</x:v>
      </x:c>
      <x:c r="C25" s="4" t="str">
        <x:v>기본</x:v>
      </x:c>
      <x:c r="D25" s="4" t="n">
        <x:v>1</x:v>
      </x:c>
      <x:c r="E25" s="4" t="str">
        <x:v>회전 복귀; NC 접점; 설치 홀 확인</x:v>
      </x:c>
      <x:c r="F25" s="4" t="str">
        <x:v>사양·조달 보류</x:v>
      </x:c>
      <x:c r="G25" s="4" t="str">
        <x:v>접점 블록 포함 확인. 이 단일 채널 회로는 안전인증 회로가 아님.</x:v>
      </x:c>
      <x:c r="H25" s="4" t="str">
        <x:v>https://github.com/JTech-CO/Smart-Cart-Wiring/blob/3ac3f1d793caba6494d27df6f0b9ba2eee8606d5/data/BOM.csv</x:v>
      </x:c>
    </x:row>
    <x:row r="26" ht="78" customHeight="1">
      <x:c r="A26" s="4" t="str">
        <x:v>E09</x:v>
      </x:c>
      <x:c r="B26" s="4" t="str">
        <x:v>순간 NO 수동 재무장 버튼</x:v>
      </x:c>
      <x:c r="C26" s="4" t="str">
        <x:v>기본</x:v>
      </x:c>
      <x:c r="D26" s="4" t="n">
        <x:v>1</x:v>
      </x:c>
      <x:c r="E26" s="4" t="str">
        <x:v>모멘터리 NO; 설치 홀 확인</x:v>
      </x:c>
      <x:c r="F26" s="4" t="str">
        <x:v>사양·조달 보류</x:v>
      </x:c>
      <x:c r="G26" s="4" t="str">
        <x:v>버튼 헤드만 판매하는 상품은 접점 블록 별도 계상.</x:v>
      </x:c>
      <x:c r="H26" s="4" t="str">
        <x:v>https://github.com/JTech-CO/Smart-Cart-Wiring/blob/3ac3f1d793caba6494d27df6f0b9ba2eee8606d5/data/BOM.csv</x:v>
      </x:c>
    </x:row>
    <x:row r="27" ht="78" customHeight="1">
      <x:c r="A27" s="4" t="str">
        <x:v>E10</x:v>
      </x:c>
      <x:c r="B27" s="4" t="str">
        <x:v>24V class → 12V DC-DC</x:v>
      </x:c>
      <x:c r="C27" s="4" t="str">
        <x:v>기본</x:v>
      </x:c>
      <x:c r="D27" s="4" t="n">
        <x:v>1</x:v>
      </x:c>
      <x:c r="E27" s="4" t="str">
        <x:v>12V 20A 목표; 입력 완충/과도전압 허용</x:v>
      </x:c>
      <x:c r="F27" s="4" t="str">
        <x:v>사양·조달 보류</x:v>
      </x:c>
      <x:c r="G27" s="4" t="str">
        <x:v>서보 미사용도 K1 코일 때문에 12V 전원 필요. 용량 축소는 회로 변경 후에만.</x:v>
      </x:c>
      <x:c r="H27" s="4" t="str">
        <x:v>https://github.com/JTech-CO/Smart-Cart-Wiring/blob/3ac3f1d793caba6494d27df6f0b9ba2eee8606d5/data/BOM.csv</x:v>
      </x:c>
    </x:row>
    <x:row r="28" ht="78" customHeight="1">
      <x:c r="A28" s="4" t="str">
        <x:v>E11</x:v>
      </x:c>
      <x:c r="B28" s="4" t="str">
        <x:v>24V class → 5V DC-DC</x:v>
      </x:c>
      <x:c r="C28" s="4" t="str">
        <x:v>기본</x:v>
      </x:c>
      <x:c r="D28" s="4" t="n">
        <x:v>1</x:v>
      </x:c>
      <x:c r="E28" s="4" t="str">
        <x:v>5V 10A 목표; 연속출력·OVP·단락 보호</x:v>
      </x:c>
      <x:c r="F28" s="4" t="str">
        <x:v>사양·조달 보류</x:v>
      </x:c>
      <x:c r="G28" s="4" t="str">
        <x:v>부하단 5V와 USB 기동 응답/전압강하 검증. 10A 문구만으로 선정하지 않음.</x:v>
      </x:c>
      <x:c r="H28" s="4" t="str">
        <x:v>https://github.com/JTech-CO/Smart-Cart-Wiring/blob/3ac3f1d793caba6494d27df6f0b9ba2eee8606d5/data/BOM.csv</x:v>
      </x:c>
    </x:row>
    <x:row r="29" ht="78" customHeight="1">
      <x:c r="A29" s="4" t="str">
        <x:v>E12</x:v>
      </x:c>
      <x:c r="B29" s="4" t="str">
        <x:v>접촉기 후단 좌/우 분기 접속부</x:v>
      </x:c>
      <x:c r="C29" s="4" t="str">
        <x:v>기본</x:v>
      </x:c>
      <x:c r="D29" s="4" t="n">
        <x:v>1</x:v>
      </x:c>
      <x:c r="E29" s="4" t="str">
        <x:v>K1 출력 → F1/F2의 3접속 이상</x:v>
      </x:c>
      <x:c r="F29" s="4" t="str">
        <x:v>사양·조달 보류</x:v>
      </x:c>
      <x:c r="G29" s="4" t="str">
        <x:v>용량 맞는 분배단자/압착분기. K1 스터드 적층 가능 여부에 따라 통합 가능.</x:v>
      </x:c>
      <x:c r="H29" s="4" t="str">
        <x:v>https://github.com/JTech-CO/Smart-Cart-Wiring/blob/3ac3f1d793caba6494d27df6f0b9ba2eee8606d5/docs/ASSEMBLY-KR.md</x:v>
      </x:c>
    </x:row>
    <x:row r="30" ht="78" customHeight="1">
      <x:c r="A30" s="4" t="str">
        <x:v>E13</x:v>
      </x:c>
      <x:c r="B30" s="4" t="str">
        <x:v>12V 출력 분배부</x:v>
      </x:c>
      <x:c r="C30" s="4" t="str">
        <x:v>기본</x:v>
      </x:c>
      <x:c r="D30" s="4" t="n">
        <x:v>1</x:v>
      </x:c>
      <x:c r="E30" s="4" t="str">
        <x:v>DC1 → F9 및 옵션 F5/F6; 절연커버</x:v>
      </x:c>
      <x:c r="F30" s="4" t="str">
        <x:v>사양·조달 보류</x:v>
      </x:c>
      <x:c r="G30" s="4" t="str">
        <x:v>다중 분기 배선 구현용. 컨버터 일체형 단자 수가 충분하면 동봉 차감.</x:v>
      </x:c>
      <x:c r="H30" s="4" t="str">
        <x:v>https://github.com/JTech-CO/Smart-Cart-Wiring/blob/3ac3f1d793caba6494d27df6f0b9ba2eee8606d5/docs/ASSEMBLY-KR.md</x:v>
      </x:c>
    </x:row>
    <x:row r="31" ht="78" customHeight="1">
      <x:c r="A31" s="4" t="str">
        <x:v>E14</x:v>
      </x:c>
      <x:c r="B31" s="4" t="str">
        <x:v>5V 출력 분배부</x:v>
      </x:c>
      <x:c r="C31" s="4" t="str">
        <x:v>기본</x:v>
      </x:c>
      <x:c r="D31" s="4" t="n">
        <x:v>1</x:v>
      </x:c>
      <x:c r="E31" s="4" t="str">
        <x:v>DC2 → F7/F8 및 옵션 F10; 전압강하 최소화</x:v>
      </x:c>
      <x:c r="F31" s="4" t="str">
        <x:v>사양·조달 보류</x:v>
      </x:c>
      <x:c r="G31" s="4" t="str">
        <x:v>24V/12V/5V 양극 공통 버스 사용 금지.</x:v>
      </x:c>
      <x:c r="H31" s="4" t="str">
        <x:v>https://github.com/JTech-CO/Smart-Cart-Wiring/blob/3ac3f1d793caba6494d27df6f0b9ba2eee8606d5/docs/ASSEMBLY-KR.md</x:v>
      </x:c>
    </x:row>
    <x:row r="32" ht="78" customHeight="1">
      <x:c r="A32" s="4" t="str">
        <x:v>E15</x:v>
      </x:c>
      <x:c r="B32" s="4" t="str">
        <x:v>충전 분기 보호장치</x:v>
      </x:c>
      <x:c r="C32" s="4" t="str">
        <x:v>기본</x:v>
      </x:c>
      <x:c r="D32" s="4"/>
      <x:c r="E32" s="4" t="str">
        <x:v>충전기/BMS 제조사 설계에 따름</x:v>
      </x:c>
      <x:c r="F32" s="4" t="str">
        <x:v>사양·조달 보류</x:v>
      </x:c>
      <x:c r="G32" s="4" t="str">
        <x:v>일체형 팩 내부 보호로 충족되는지 확인. 필요 여부·정격 미정으로 0개 처리하지 않음.</x:v>
      </x:c>
      <x:c r="H32" s="4" t="str">
        <x:v>https://github.com/JTech-CO/Smart-Cart-Wiring/blob/3ac3f1d793caba6494d27df6f0b9ba2eee8606d5/docs/ASSEMBLY-KR.md</x:v>
      </x:c>
    </x:row>
    <x:row r="33" ht="78" customHeight="1">
      <x:c r="A33" s="4" t="str">
        <x:v>F01</x:v>
      </x:c>
      <x:c r="B33" s="4" t="str">
        <x:v>메인 퓨즈</x:v>
      </x:c>
      <x:c r="C33" s="4" t="str">
        <x:v>기본</x:v>
      </x:c>
      <x:c r="D33" s="4" t="n">
        <x:v>1</x:v>
      </x:c>
      <x:c r="E33" s="4" t="str">
        <x:v>60A * / 형식·차단용량 미확정</x:v>
      </x:c>
      <x:c r="F33" s="4" t="str">
        <x:v>사양·조달 보류</x:v>
      </x:c>
      <x:c r="G33" s="4" t="str">
        <x:v>* 원본 검토값이며 발주 승인값 아님. 정격 확정 후 장착분과 동일 수량의 교체 예비 확보.</x:v>
      </x:c>
      <x:c r="H33" s="4" t="str">
        <x:v>https://github.com/JTech-CO/Smart-Cart-Wiring/blob/3ac3f1d793caba6494d27df6f0b9ba2eee8606d5/data/BOM.csv</x:v>
      </x:c>
    </x:row>
    <x:row r="34" ht="78" customHeight="1">
      <x:c r="A34" s="4" t="str">
        <x:v>F02</x:v>
      </x:c>
      <x:c r="B34" s="4" t="str">
        <x:v>모터 입력 분기 퓨즈</x:v>
      </x:c>
      <x:c r="C34" s="4" t="str">
        <x:v>기본</x:v>
      </x:c>
      <x:c r="D34" s="4" t="n">
        <x:v>2</x:v>
      </x:c>
      <x:c r="E34" s="4" t="str">
        <x:v>25A * / 좌우 각 1</x:v>
      </x:c>
      <x:c r="F34" s="4" t="str">
        <x:v>사양·조달 보류</x:v>
      </x:c>
      <x:c r="G34" s="4" t="str">
        <x:v>* 원본 검토값이며 발주 승인값 아님. 정격 확정 후 장착분과 동일 수량의 교체 예비 확보.</x:v>
      </x:c>
      <x:c r="H34" s="4" t="str">
        <x:v>https://github.com/JTech-CO/Smart-Cart-Wiring/blob/3ac3f1d793caba6494d27df6f0b9ba2eee8606d5/data/BOM.csv</x:v>
      </x:c>
    </x:row>
    <x:row r="35" ht="78" customHeight="1">
      <x:c r="A35" s="4" t="str">
        <x:v>F03</x:v>
      </x:c>
      <x:c r="B35" s="4" t="str">
        <x:v>12V 컨버터 입력 퓨즈</x:v>
      </x:c>
      <x:c r="C35" s="4" t="str">
        <x:v>기본</x:v>
      </x:c>
      <x:c r="D35" s="4" t="n">
        <x:v>1</x:v>
      </x:c>
      <x:c r="E35" s="4" t="str">
        <x:v>15A *</x:v>
      </x:c>
      <x:c r="F35" s="4" t="str">
        <x:v>사양·조달 보류</x:v>
      </x:c>
      <x:c r="G35" s="4" t="str">
        <x:v>* 원본 검토값이며 발주 승인값 아님. 정격 확정 후 장착분과 동일 수량의 교체 예비 확보.</x:v>
      </x:c>
      <x:c r="H35" s="4" t="str">
        <x:v>https://github.com/JTech-CO/Smart-Cart-Wiring/blob/3ac3f1d793caba6494d27df6f0b9ba2eee8606d5/data/BOM.csv</x:v>
      </x:c>
    </x:row>
    <x:row r="36" ht="78" customHeight="1">
      <x:c r="A36" s="4" t="str">
        <x:v>F04</x:v>
      </x:c>
      <x:c r="B36" s="4" t="str">
        <x:v>5V 컨버터 입력 퓨즈</x:v>
      </x:c>
      <x:c r="C36" s="4" t="str">
        <x:v>기본</x:v>
      </x:c>
      <x:c r="D36" s="4" t="n">
        <x:v>1</x:v>
      </x:c>
      <x:c r="E36" s="4" t="str">
        <x:v>5A *</x:v>
      </x:c>
      <x:c r="F36" s="4" t="str">
        <x:v>사양·조달 보류</x:v>
      </x:c>
      <x:c r="G36" s="4" t="str">
        <x:v>* 원본 검토값이며 발주 승인값 아님. 정격 확정 후 장착분과 동일 수량의 교체 예비 확보.</x:v>
      </x:c>
      <x:c r="H36" s="4" t="str">
        <x:v>https://github.com/JTech-CO/Smart-Cart-Wiring/blob/3ac3f1d793caba6494d27df6f0b9ba2eee8606d5/data/BOM.csv</x:v>
      </x:c>
    </x:row>
    <x:row r="37" ht="78" customHeight="1">
      <x:c r="A37" s="4" t="str">
        <x:v>F05</x:v>
      </x:c>
      <x:c r="B37" s="4" t="str">
        <x:v>12V 서보 출력 퓨즈</x:v>
      </x:c>
      <x:c r="C37" s="4" t="str">
        <x:v>조향옵션</x:v>
      </x:c>
      <x:c r="D37" s="4" t="n">
        <x:v>2</x:v>
      </x:c>
      <x:c r="E37" s="4" t="str">
        <x:v>10A * / 좌우 각 1</x:v>
      </x:c>
      <x:c r="F37" s="4" t="str">
        <x:v>사양·조달 보류</x:v>
      </x:c>
      <x:c r="G37" s="4" t="str">
        <x:v>* 원본 검토값이며 발주 승인값 아님. 정격 확정 후 장착분과 동일 수량의 교체 예비 확보.</x:v>
      </x:c>
      <x:c r="H37" s="4" t="str">
        <x:v>https://github.com/JTech-CO/Smart-Cart-Wiring/blob/3ac3f1d793caba6494d27df6f0b9ba2eee8606d5/data/BOM.csv</x:v>
      </x:c>
    </x:row>
    <x:row r="38" ht="78" customHeight="1">
      <x:c r="A38" s="4" t="str">
        <x:v>F06</x:v>
      </x:c>
      <x:c r="B38" s="4" t="str">
        <x:v>Orange Pi·허브 5V 분기 퓨즈</x:v>
      </x:c>
      <x:c r="C38" s="4" t="str">
        <x:v>기본</x:v>
      </x:c>
      <x:c r="D38" s="4" t="n">
        <x:v>2</x:v>
      </x:c>
      <x:c r="E38" s="4" t="str">
        <x:v>4A * / 각 1</x:v>
      </x:c>
      <x:c r="F38" s="4" t="str">
        <x:v>사양·조달 보류</x:v>
      </x:c>
      <x:c r="G38" s="4" t="str">
        <x:v>* 원본 검토값이며 발주 승인값 아님. 정격 확정 후 장착분과 동일 수량의 교체 예비 확보.</x:v>
      </x:c>
      <x:c r="H38" s="4" t="str">
        <x:v>https://github.com/JTech-CO/Smart-Cart-Wiring/blob/3ac3f1d793caba6494d27df6f0b9ba2eee8606d5/data/BOM.csv</x:v>
      </x:c>
    </x:row>
    <x:row r="39" ht="78" customHeight="1">
      <x:c r="A39" s="4" t="str">
        <x:v>F07</x:v>
      </x:c>
      <x:c r="B39" s="4" t="str">
        <x:v>접촉기 코일 퓨즈</x:v>
      </x:c>
      <x:c r="C39" s="4" t="str">
        <x:v>기본</x:v>
      </x:c>
      <x:c r="D39" s="4" t="n">
        <x:v>1</x:v>
      </x:c>
      <x:c r="E39" s="4" t="str">
        <x:v>1A *</x:v>
      </x:c>
      <x:c r="F39" s="4" t="str">
        <x:v>사양·조달 보류</x:v>
      </x:c>
      <x:c r="G39" s="4" t="str">
        <x:v>* 원본 검토값이며 발주 승인값 아님. 정격 확정 후 장착분과 동일 수량의 교체 예비 확보.</x:v>
      </x:c>
      <x:c r="H39" s="4" t="str">
        <x:v>https://github.com/JTech-CO/Smart-Cart-Wiring/blob/3ac3f1d793caba6494d27df6f0b9ba2eee8606d5/data/BOM.csv</x:v>
      </x:c>
    </x:row>
    <x:row r="40" ht="78" customHeight="1">
      <x:c r="A40" s="4" t="str">
        <x:v>F08</x:v>
      </x:c>
      <x:c r="B40" s="4" t="str">
        <x:v>버퍼 5V 분기 퓨즈</x:v>
      </x:c>
      <x:c r="C40" s="4" t="str">
        <x:v>조향옵션</x:v>
      </x:c>
      <x:c r="D40" s="4" t="n">
        <x:v>1</x:v>
      </x:c>
      <x:c r="E40" s="4" t="str">
        <x:v>0.5A *</x:v>
      </x:c>
      <x:c r="F40" s="4" t="str">
        <x:v>사양·조달 보류</x:v>
      </x:c>
      <x:c r="G40" s="4" t="str">
        <x:v>* 원본 검토값이며 발주 승인값 아님. 정격 확정 후 장착분과 동일 수량의 교체 예비 확보.</x:v>
      </x:c>
      <x:c r="H40" s="4" t="str">
        <x:v>https://github.com/JTech-CO/Smart-Cart-Wiring/blob/3ac3f1d793caba6494d27df6f0b9ba2eee8606d5/data/BOM.csv</x:v>
      </x:c>
    </x:row>
    <x:row r="41" ht="78" customHeight="1">
      <x:c r="A41" s="4" t="str">
        <x:v>F09</x:v>
      </x:c>
      <x:c r="B41" s="4" t="str">
        <x:v>메인 퓨즈 홀더 + 절연 커버</x:v>
      </x:c>
      <x:c r="C41" s="4" t="str">
        <x:v>기본</x:v>
      </x:c>
      <x:c r="D41" s="4" t="n">
        <x:v>1</x:v>
      </x:c>
      <x:c r="E41" s="4" t="str">
        <x:v>F01과 동일 형식; DC 전류·차단 조건</x:v>
      </x:c>
      <x:c r="F41" s="4" t="str">
        <x:v>사양·조달 보류</x:v>
      </x:c>
      <x:c r="G41" s="4" t="str">
        <x:v>홀더 일체형으로 구매할 때 퓨즈 동봉 수를 별도 확인.</x:v>
      </x:c>
      <x:c r="H41" s="4" t="str">
        <x:v>https://github.com/JTech-CO/Smart-Cart-Wiring/blob/3ac3f1d793caba6494d27df6f0b9ba2eee8606d5/docs/ASSEMBLY-KR.md</x:v>
      </x:c>
    </x:row>
    <x:row r="42" ht="78" customHeight="1">
      <x:c r="A42" s="4" t="str">
        <x:v>F10</x:v>
      </x:c>
      <x:c r="B42" s="4" t="str">
        <x:v>24V 입력 분기 퓨즈 홀더</x:v>
      </x:c>
      <x:c r="C42" s="4" t="str">
        <x:v>기본</x:v>
      </x:c>
      <x:c r="D42" s="4" t="n">
        <x:v>4</x:v>
      </x:c>
      <x:c r="E42" s="4" t="str">
        <x:v>F1~F4: 모터 2 + 컨버터 2</x:v>
      </x:c>
      <x:c r="F42" s="4" t="str">
        <x:v>사양·조달 보류</x:v>
      </x:c>
      <x:c r="G42" s="4" t="str">
        <x:v>전선/단자 허용전류를 각각 검증. 4회로 공통양극 구조는 K1 전/후 회로를 우회할 수 있어 금지.</x:v>
      </x:c>
      <x:c r="H42" s="4" t="str">
        <x:v>https://github.com/JTech-CO/Smart-Cart-Wiring/blob/3ac3f1d793caba6494d27df6f0b9ba2eee8606d5/docs/ASSEMBLY-KR.md</x:v>
      </x:c>
    </x:row>
    <x:row r="43" ht="78" customHeight="1">
      <x:c r="A43" s="4" t="str">
        <x:v>F11</x:v>
      </x:c>
      <x:c r="B43" s="4" t="str">
        <x:v>5V 출력 분기 퓨즈 홀더</x:v>
      </x:c>
      <x:c r="C43" s="4" t="str">
        <x:v>기본</x:v>
      </x:c>
      <x:c r="D43" s="4" t="n">
        <x:v>2</x:v>
      </x:c>
      <x:c r="E43" s="4" t="str">
        <x:v>F7/F8: Pi·허브 각 1</x:v>
      </x:c>
      <x:c r="F43" s="4" t="str">
        <x:v>사양·조달 보류</x:v>
      </x:c>
      <x:c r="G43" s="4" t="str">
        <x:v>5V 전압강하를 고려한 접점/전선 선정.</x:v>
      </x:c>
      <x:c r="H43" s="4" t="str">
        <x:v>https://github.com/JTech-CO/Smart-Cart-Wiring/blob/3ac3f1d793caba6494d27df6f0b9ba2eee8606d5/docs/ASSEMBLY-KR.md</x:v>
      </x:c>
    </x:row>
    <x:row r="44" ht="78" customHeight="1">
      <x:c r="A44" s="4" t="str">
        <x:v>F12</x:v>
      </x:c>
      <x:c r="B44" s="4" t="str">
        <x:v>12V 코일 퓨즈 홀더</x:v>
      </x:c>
      <x:c r="C44" s="4" t="str">
        <x:v>기본</x:v>
      </x:c>
      <x:c r="D44" s="4" t="n">
        <x:v>1</x:v>
      </x:c>
      <x:c r="E44" s="4" t="str">
        <x:v>F9 1A 후보 대응</x:v>
      </x:c>
      <x:c r="F44" s="4" t="str">
        <x:v>사양·조달 보류</x:v>
      </x:c>
      <x:c r="G44" s="4" t="str"/>
      <x:c r="H44" s="4" t="str">
        <x:v>https://github.com/JTech-CO/Smart-Cart-Wiring/blob/3ac3f1d793caba6494d27df6f0b9ba2eee8606d5/docs/ASSEMBLY-KR.md</x:v>
      </x:c>
    </x:row>
    <x:row r="45" ht="78" customHeight="1">
      <x:c r="A45" s="4" t="str">
        <x:v>F13</x:v>
      </x:c>
      <x:c r="B45" s="4" t="str">
        <x:v>서보 퓨즈 홀더</x:v>
      </x:c>
      <x:c r="C45" s="4" t="str">
        <x:v>조향옵션</x:v>
      </x:c>
      <x:c r="D45" s="4" t="n">
        <x:v>2</x:v>
      </x:c>
      <x:c r="E45" s="4" t="str">
        <x:v>F5/F6 10A 후보 대응</x:v>
      </x:c>
      <x:c r="F45" s="4" t="str">
        <x:v>사양·조달 보류</x:v>
      </x:c>
      <x:c r="G45" s="4" t="str"/>
      <x:c r="H45" s="4" t="str">
        <x:v>https://github.com/JTech-CO/Smart-Cart-Wiring/blob/3ac3f1d793caba6494d27df6f0b9ba2eee8606d5/docs/ASSEMBLY-KR.md</x:v>
      </x:c>
    </x:row>
    <x:row r="46" ht="78" customHeight="1">
      <x:c r="A46" s="4" t="str">
        <x:v>F14</x:v>
      </x:c>
      <x:c r="B46" s="4" t="str">
        <x:v>5V 버퍼 퓨즈 홀더</x:v>
      </x:c>
      <x:c r="C46" s="4" t="str">
        <x:v>조향옵션</x:v>
      </x:c>
      <x:c r="D46" s="4" t="n">
        <x:v>1</x:v>
      </x:c>
      <x:c r="E46" s="4" t="str">
        <x:v>F10 0.5A 후보 대응</x:v>
      </x:c>
      <x:c r="F46" s="4" t="str">
        <x:v>사양·조달 보류</x:v>
      </x:c>
      <x:c r="G46" s="4" t="str"/>
      <x:c r="H46" s="4" t="str">
        <x:v>https://github.com/JTech-CO/Smart-Cart-Wiring/blob/3ac3f1d793caba6494d27df6f0b9ba2eee8606d5/docs/ASSEMBLY-KR.md</x:v>
      </x:c>
    </x:row>
    <x:row r="47" ht="78" customHeight="1">
      <x:c r="A47" s="4" t="str">
        <x:v>D01</x:v>
      </x:c>
      <x:c r="B47" s="4" t="str">
        <x:v>브러시드 DC 감속모터</x:v>
      </x:c>
      <x:c r="C47" s="4" t="str">
        <x:v>기본</x:v>
      </x:c>
      <x:c r="D47" s="4" t="n">
        <x:v>2</x:v>
      </x:c>
      <x:c r="E47" s="4" t="str">
        <x:v>24V 250W ×2; 감속비/RPM/축/스톨 확인</x:v>
      </x:c>
      <x:c r="F47" s="4" t="str">
        <x:v>사양·조달 보류</x:v>
      </x:c>
      <x:c r="G47" s="4" t="str">
        <x:v>무감속 고속 모터와 혼동 금지. 좌우 기구/회전 방향 및 제동 방식 확정 필요.</x:v>
      </x:c>
      <x:c r="H47" s="4" t="str">
        <x:v>https://github.com/JTech-CO/Smart-Cart-Wiring/blob/3ac3f1d793caba6494d27df6f0b9ba2eee8606d5/data/BOM.csv</x:v>
      </x:c>
    </x:row>
    <x:row r="48" ht="78" customHeight="1">
      <x:c r="A48" s="4" t="str">
        <x:v>D02</x:v>
      </x:c>
      <x:c r="B48" s="4" t="str">
        <x:v>모터 드라이버</x:v>
      </x:c>
      <x:c r="C48" s="4" t="str">
        <x:v>기본</x:v>
      </x:c>
      <x:c r="D48" s="4" t="n">
        <x:v>2</x:v>
      </x:c>
      <x:c r="E48" s="4" t="str">
        <x:v>Pololu G2 SMC 24v19 #1367 조건부</x:v>
      </x:c>
      <x:c r="F48" s="4" t="str">
        <x:v>사양·조달 보류</x:v>
      </x:c>
      <x:c r="G48" s="4" t="str">
        <x:v>국내 재고 미확인. 포함 단자대의 15~16A 안내와 분기25A 보호 불일치 검토. BTS7960 재사용 금지.</x:v>
      </x:c>
      <x:c r="H48" s="4" t="str">
        <x:v>https://github.com/JTech-CO/Smart-Cart-Wiring/blob/3ac3f1d793caba6494d27df6f0b9ba2eee8606d5/data/BOM.csv</x:v>
      </x:c>
    </x:row>
    <x:row r="49" ht="78" customHeight="1">
      <x:c r="A49" s="4" t="str">
        <x:v>D03</x:v>
      </x:c>
      <x:c r="B49" s="4" t="str">
        <x:v>고토크 조향 서보</x:v>
      </x:c>
      <x:c r="C49" s="4" t="str">
        <x:v>조향옵션</x:v>
      </x:c>
      <x:c r="D49" s="4" t="n">
        <x:v>2</x:v>
      </x:c>
      <x:c r="E49" s="4" t="str">
        <x:v>RDS51150 12V형; PWM/핀/피드백 확인</x:v>
      </x:c>
      <x:c r="F49" s="4" t="str">
        <x:v>사양·조달 보류</x:v>
      </x:c>
      <x:c r="G49" s="4" t="str">
        <x:v>기본 차동구동+자유 캐스터와 다른 옵션. 조향 링크·끝점 확정 전 발주 보류.</x:v>
      </x:c>
      <x:c r="H49" s="4" t="str">
        <x:v>https://github.com/JTech-CO/Smart-Cart-Wiring/blob/3ac3f1d793caba6494d27df6f0b9ba2eee8606d5/data/BOM.csv</x:v>
      </x:c>
    </x:row>
    <x:row r="50" ht="78" customHeight="1">
      <x:c r="A50" s="4" t="str">
        <x:v>D04</x:v>
      </x:c>
      <x:c r="B50" s="4" t="str">
        <x:v>독립 제동·주차 유지 장치</x:v>
      </x:c>
      <x:c r="C50" s="4" t="str">
        <x:v>기본</x:v>
      </x:c>
      <x:c r="D50" s="4"/>
      <x:c r="E50" s="4" t="str">
        <x:v>차량 하중·경사·정지거리 기반 선정</x:v>
      </x:c>
      <x:c r="F50" s="4" t="str">
        <x:v>사양·조달 보류</x:v>
      </x:c>
      <x:c r="G50" s="4" t="str">
        <x:v>전원 차단만으로 정지 보장 안 됨. 방식과 장착 수 미정, 0개로 간주 금지.</x:v>
      </x:c>
      <x:c r="H50" s="4" t="str">
        <x:v>https://github.com/JTech-CO/Smart-Cart-Wiring/blob/3ac3f1d793caba6494d27df6f0b9ba2eee8606d5/docs/ASSEMBLY-KR.md</x:v>
      </x:c>
    </x:row>
    <x:row r="51" ht="78" customHeight="1">
      <x:c r="A51" s="4" t="str">
        <x:v>D05</x:v>
      </x:c>
      <x:c r="B51" s="4" t="str">
        <x:v>휠/모터 엔코더</x:v>
      </x:c>
      <x:c r="C51" s="4" t="str">
        <x:v>선택보완</x:v>
      </x:c>
      <x:c r="D51" s="4" t="n">
        <x:v>2</x:v>
      </x:c>
      <x:c r="E51" s="4" t="str">
        <x:v>드라이버/제어기/축 일치; 내장 여부 확인</x:v>
      </x:c>
      <x:c r="F51" s="4" t="str">
        <x:v>사양·조달 보류</x:v>
      </x:c>
      <x:c r="G51" s="4" t="str">
        <x:v>원본 실장 부품 아님. 폐루프 속도 제어 도입 시 검토; 모터 내장 엔코더 중복 구매 금지.</x:v>
      </x:c>
      <x:c r="H51" s="4" t="str">
        <x:v>https://github.com/JTech-CO/Smart-Cart-Wiring/blob/3ac3f1d793caba6494d27df6f0b9ba2eee8606d5/docs/ASSEMBLY-KR.md</x:v>
      </x:c>
    </x:row>
    <x:row r="52" ht="78" customHeight="1">
      <x:c r="A52" s="4" t="str">
        <x:v>D06</x:v>
      </x:c>
      <x:c r="B52" s="4" t="str">
        <x:v>서보 혼·출력 체결부</x:v>
      </x:c>
      <x:c r="C52" s="4" t="str">
        <x:v>조향옵션</x:v>
      </x:c>
      <x:c r="D52" s="4" t="n">
        <x:v>2</x:v>
      </x:c>
      <x:c r="E52" s="4" t="str">
        <x:v>서보 스플라인/정격 토크 일치</x:v>
      </x:c>
      <x:c r="F52" s="4" t="str">
        <x:v>사양·조달 보류</x:v>
      </x:c>
      <x:c r="G52" s="4" t="str">
        <x:v>서보 기본 혼이 실제 조향 토크/축에 적합한지 확인.</x:v>
      </x:c>
      <x:c r="H52" s="4" t="str">
        <x:v>https://github.com/JTech-CO/Smart-Cart-Wiring/blob/3ac3f1d793caba6494d27df6f0b9ba2eee8606d5/docs/ASSEMBLY-KR.md</x:v>
      </x:c>
    </x:row>
    <x:row r="53" ht="78" customHeight="1">
      <x:c r="A53" s="4" t="str">
        <x:v>D07</x:v>
      </x:c>
      <x:c r="B53" s="4" t="str">
        <x:v>좌우 조향 링크·로드엔드·너클</x:v>
      </x:c>
      <x:c r="C53" s="4" t="str">
        <x:v>조향옵션</x:v>
      </x:c>
      <x:c r="D53" s="4"/>
      <x:c r="E53" s="4" t="str">
        <x:v>기구 도면·최대각·구속조건 확정</x:v>
      </x:c>
      <x:c r="F53" s="4" t="str">
        <x:v>사양·조달 보류</x:v>
      </x:c>
      <x:c r="G53" s="4" t="str">
        <x:v>로드엔드/타이로드 개수를 임의로 정하지 않음.</x:v>
      </x:c>
      <x:c r="H53" s="4" t="str">
        <x:v>https://github.com/JTech-CO/Smart-Cart-Wiring/blob/3ac3f1d793caba6494d27df6f0b9ba2eee8606d5/docs/ASSEMBLY-KR.md</x:v>
      </x:c>
    </x:row>
    <x:row r="54" ht="78" customHeight="1">
      <x:c r="A54" s="4" t="str">
        <x:v>B05</x:v>
      </x:c>
      <x:c r="B54" s="4" t="str">
        <x:v>4채널 비반전 버퍼 DIP-14</x:v>
      </x:c>
      <x:c r="C54" s="4" t="str">
        <x:v>조향옵션</x:v>
      </x:c>
      <x:c r="D54" s="4" t="n">
        <x:v>1</x:v>
      </x:c>
      <x:c r="E54" s="4" t="str">
        <x:v>TI SN74AHCT125N 정확한 접미사</x:v>
      </x:c>
      <x:c r="F54" s="4" t="str">
        <x:v>사양·조달 보류</x:v>
      </x:c>
      <x:c r="G54" s="4" t="str">
        <x:v>HC/HCT/소형 SMD로 무검증 대체 금지. N=DIP; 5V 전원과 3.3V 입력 호환 검토.</x:v>
      </x:c>
      <x:c r="H54" s="4" t="str">
        <x:v>https://github.com/JTech-CO/Smart-Cart-Wiring/blob/3ac3f1d793caba6494d27df6f0b9ba2eee8606d5/data/BOM.csv</x:v>
      </x:c>
    </x:row>
    <x:row r="55" ht="78" customHeight="1">
      <x:c r="A55" s="4" t="str">
        <x:v>B06</x:v>
      </x:c>
      <x:c r="B55" s="4" t="str">
        <x:v>100nF 세라믹 디커플링</x:v>
      </x:c>
      <x:c r="C55" s="4" t="str">
        <x:v>조향옵션</x:v>
      </x:c>
      <x:c r="D55" s="4" t="n">
        <x:v>1</x:v>
      </x:c>
      <x:c r="E55" s="4" t="str">
        <x:v>0.1uF / ≥16V / 관통형 리드</x:v>
      </x:c>
      <x:c r="F55" s="4" t="str">
        <x:v>사양·조달 보류</x:v>
      </x:c>
      <x:c r="G55" s="4" t="str">
        <x:v>브레드보드용 리드 부품. 10개 확보 제안; 패키지·국내 재고 미확정.</x:v>
      </x:c>
      <x:c r="H55" s="4" t="str">
        <x:v>https://github.com/JTech-CO/Smart-Cart-Wiring/blob/3ac3f1d793caba6494d27df6f0b9ba2eee8606d5/data/BOM.csv</x:v>
      </x:c>
    </x:row>
    <x:row r="56" ht="78" customHeight="1">
      <x:c r="A56" s="4" t="str">
        <x:v>B10</x:v>
      </x:c>
      <x:c r="B56" s="4" t="str">
        <x:v>2.54mm 수 헤더 스트립</x:v>
      </x:c>
      <x:c r="C56" s="4" t="str">
        <x:v>준비재료</x:v>
      </x:c>
      <x:c r="D56" s="4" t="n">
        <x:v>2</x:v>
      </x:c>
      <x:c r="E56" s="4" t="str">
        <x:v>1×40 직선; 절단 사용</x:v>
      </x:c>
      <x:c r="F56" s="4" t="str">
        <x:v>사양·조달 보류</x:v>
      </x:c>
      <x:c r="G56" s="4" t="str">
        <x:v>모듈에 동봉된 헤더는 차감. 스트립 1줄=40핀, 1개 부품=1핀으로 혼동 금지.</x:v>
      </x:c>
      <x:c r="H56" s="4" t="str">
        <x:v>https://github.com/JTech-CO/Smart-Cart-Wiring/blob/3ac3f1d793caba6494d27df6f0b9ba2eee8606d5/docs/ASSEMBLY-KR.md</x:v>
      </x:c>
    </x:row>
    <x:row r="57" ht="78" customHeight="1">
      <x:c r="A57" s="4" t="str">
        <x:v>H01</x:v>
      </x:c>
      <x:c r="B57" s="4" t="str">
        <x:v>USB 허브 upstream 케이블</x:v>
      </x:c>
      <x:c r="C57" s="4" t="str">
        <x:v>기본</x:v>
      </x:c>
      <x:c r="D57" s="4" t="n">
        <x:v>1</x:v>
      </x:c>
      <x:c r="E57" s="4" t="str">
        <x:v>Orange Pi host → H1; 실제 플러그/길이</x:v>
      </x:c>
      <x:c r="F57" s="4" t="str">
        <x:v>동봉·규격 확인</x:v>
      </x:c>
      <x:c r="G57" s="4" t="str">
        <x:v>허브에 포함되면 필요1 동봉차감; 예비1은 선택. 일반 A-A 직결선으로 임의 대체 금지.</x:v>
      </x:c>
      <x:c r="H57" s="4" t="str">
        <x:v>https://github.com/JTech-CO/Smart-Cart-Wiring/blob/3ac3f1d793caba6494d27df6f0b9ba2eee8606d5/docs/ASSEMBLY-KR.md</x:v>
      </x:c>
    </x:row>
    <x:row r="58" ht="78" customHeight="1">
      <x:c r="A58" s="4" t="str">
        <x:v>H04</x:v>
      </x:c>
      <x:c r="B58" s="4" t="str">
        <x:v>C1 어댑터 USB 데이터 케이블</x:v>
      </x:c>
      <x:c r="C58" s="4" t="str">
        <x:v>기본</x:v>
      </x:c>
      <x:c r="D58" s="4" t="n">
        <x:v>1</x:v>
      </x:c>
      <x:c r="E58" s="4" t="str">
        <x:v>H1 → A1; 실제 USB 플러그</x:v>
      </x:c>
      <x:c r="F58" s="4" t="str">
        <x:v>동봉·규격 확인</x:v>
      </x:c>
      <x:c r="G58" s="4" t="str">
        <x:v>C1 키트 동봉 시 차감. 어댑터가 고정 USB플러그면 연장 필요 여부에 따라 수량 조정.</x:v>
      </x:c>
      <x:c r="H58" s="4" t="str">
        <x:v>https://github.com/JTech-CO/Smart-Cart-Wiring/blob/3ac3f1d793caba6494d27df6f0b9ba2eee8606d5/docs/ASSEMBLY-KR.md</x:v>
      </x:c>
    </x:row>
    <x:row r="59" ht="78" customHeight="1">
      <x:c r="A59" s="4" t="str">
        <x:v>H05</x:v>
      </x:c>
      <x:c r="B59" s="4" t="str">
        <x:v>C1 센서 전용 하네스</x:v>
      </x:c>
      <x:c r="C59" s="4" t="str">
        <x:v>기본</x:v>
      </x:c>
      <x:c r="D59" s="4" t="n">
        <x:v>1</x:v>
      </x:c>
      <x:c r="E59" s="4" t="str">
        <x:v>LD1 ↔ A1; 정품 대응 피치/핀수</x:v>
      </x:c>
      <x:c r="F59" s="4" t="str">
        <x:v>동봉·규격 확인</x:v>
      </x:c>
      <x:c r="G59" s="4" t="str">
        <x:v>정품 키트 동봉 여부 확인. 임의 JST-XH로 대체 금지.</x:v>
      </x:c>
      <x:c r="H59" s="4" t="str">
        <x:v>https://github.com/JTech-CO/Smart-Cart-Wiring/blob/3ac3f1d793caba6494d27df6f0b9ba2eee8606d5/docs/ASSEMBLY-KR.md</x:v>
      </x:c>
    </x:row>
    <x:row r="60" ht="78" customHeight="1">
      <x:c r="A60" s="4" t="str">
        <x:v>H06</x:v>
      </x:c>
      <x:c r="B60" s="4" t="str">
        <x:v>Orange Pi 전원용 Type-C 하네스</x:v>
      </x:c>
      <x:c r="C60" s="4" t="str">
        <x:v>기본</x:v>
      </x:c>
      <x:c r="D60" s="4" t="n">
        <x:v>1</x:v>
      </x:c>
      <x:c r="E60" s="4" t="str">
        <x:v>F7 5V → SBC; ≥3A와 CC구성 검증</x:v>
      </x:c>
      <x:c r="F60" s="4" t="str">
        <x:v>사양·조달 보류</x:v>
      </x:c>
      <x:c r="G60" s="4" t="str">
        <x:v>임의 USB 데이터 케이블을 잘라 급전하는 설계로 승인하지 않음. 전압강하 검증.</x:v>
      </x:c>
      <x:c r="H60" s="4" t="str">
        <x:v>https://github.com/JTech-CO/Smart-Cart-Wiring/blob/3ac3f1d793caba6494d27df6f0b9ba2eee8606d5/docs/ASSEMBLY-KR.md</x:v>
      </x:c>
    </x:row>
    <x:row r="61" ht="78" customHeight="1">
      <x:c r="A61" s="4" t="str">
        <x:v>H07</x:v>
      </x:c>
      <x:c r="B61" s="4" t="str">
        <x:v>USB 허브 외부 5V 전원 하네스</x:v>
      </x:c>
      <x:c r="C61" s="4" t="str">
        <x:v>기본</x:v>
      </x:c>
      <x:c r="D61" s="4" t="n">
        <x:v>1</x:v>
      </x:c>
      <x:c r="E61" s="4" t="str">
        <x:v>F8 → H1; 배럴/전용커넥터와 극성</x:v>
      </x:c>
      <x:c r="F61" s="4" t="str">
        <x:v>사양·조달 보류</x:v>
      </x:c>
      <x:c r="G61" s="4" t="str">
        <x:v>허브 번들 AC 어댑터와 차량 DC입력 경로를 구분.</x:v>
      </x:c>
      <x:c r="H61" s="4" t="str">
        <x:v>https://github.com/JTech-CO/Smart-Cart-Wiring/blob/3ac3f1d793caba6494d27df6f0b9ba2eee8606d5/docs/ASSEMBLY-KR.md</x:v>
      </x:c>
    </x:row>
    <x:row r="62" ht="78" customHeight="1">
      <x:c r="A62" s="4" t="str">
        <x:v>H08</x:v>
      </x:c>
      <x:c r="B62" s="4" t="str">
        <x:v>태그 전원 케이블</x:v>
      </x:c>
      <x:c r="C62" s="4" t="str">
        <x:v>기본</x:v>
      </x:c>
      <x:c r="D62" s="4" t="n">
        <x:v>1</x:v>
      </x:c>
      <x:c r="E62" s="4" t="str">
        <x:v>TAG1 ↔ 독립 전원; 실제 커넥터</x:v>
      </x:c>
      <x:c r="F62" s="4" t="str">
        <x:v>사양·조달 보류</x:v>
      </x:c>
      <x:c r="G62" s="4" t="str">
        <x:v>태그가 내장배터리면 충전선만 필요. 카트 배터리로 유선 연결하지 않음.</x:v>
      </x:c>
      <x:c r="H62" s="4" t="str">
        <x:v>https://github.com/JTech-CO/Smart-Cart-Wiring/blob/3ac3f1d793caba6494d27df6f0b9ba2eee8606d5/docs/ASSEMBLY-KR.md</x:v>
      </x:c>
    </x:row>
    <x:row r="63" ht="78" customHeight="1">
      <x:c r="A63" s="4" t="str">
        <x:v>H09</x:v>
      </x:c>
      <x:c r="B63" s="4" t="str">
        <x:v>배터리 메인 양극 케이블</x:v>
      </x:c>
      <x:c r="C63" s="4" t="str">
        <x:v>기본</x:v>
      </x:c>
      <x:c r="D63" s="4"/>
      <x:c r="E63" s="4" t="str">
        <x:v>전류·길이·온도·퓨즈 협조로 AWG/SQ 결정</x:v>
      </x:c>
      <x:c r="F63" s="4" t="str">
        <x:v>사양·조달 보류</x:v>
      </x:c>
      <x:c r="G63" s="4" t="str">
        <x:v>BT1→F0→S0→X24. 길이 미정; AWG12 등 고정값을 구매 승인하지 않음.</x:v>
      </x:c>
      <x:c r="H63" s="4" t="str">
        <x:v>https://github.com/JTech-CO/Smart-Cart-Wiring/blob/3ac3f1d793caba6494d27df6f0b9ba2eee8606d5/docs/ASSEMBLY-KR.md</x:v>
      </x:c>
    </x:row>
    <x:row r="64" ht="78" customHeight="1">
      <x:c r="A64" s="4" t="str">
        <x:v>H10</x:v>
      </x:c>
      <x:c r="B64" s="4" t="str">
        <x:v>배터리·구동 음극 케이블</x:v>
      </x:c>
      <x:c r="C64" s="4" t="str">
        <x:v>기본</x:v>
      </x:c>
      <x:c r="D64" s="4"/>
      <x:c r="E64" s="4" t="str">
        <x:v>양극과 동등 귀환 조건; 검정</x:v>
      </x:c>
      <x:c r="F64" s="4" t="str">
        <x:v>사양·조달 보류</x:v>
      </x:c>
      <x:c r="G64" s="4" t="str">
        <x:v>BT1→X0 및 분기. 메인 전력 귀환을 점퍼선으로 연결 금지.</x:v>
      </x:c>
      <x:c r="H64" s="4" t="str">
        <x:v>https://github.com/JTech-CO/Smart-Cart-Wiring/blob/3ac3f1d793caba6494d27df6f0b9ba2eee8606d5/docs/ASSEMBLY-KR.md</x:v>
      </x:c>
    </x:row>
    <x:row r="65" ht="78" customHeight="1">
      <x:c r="A65" s="4" t="str">
        <x:v>H11</x:v>
      </x:c>
      <x:c r="B65" s="4" t="str">
        <x:v>모터 전력 하네스</x:v>
      </x:c>
      <x:c r="C65" s="4" t="str">
        <x:v>기본</x:v>
      </x:c>
      <x:c r="D65" s="4" t="n">
        <x:v>2</x:v>
      </x:c>
      <x:c r="E65" s="4" t="str">
        <x:v>각 드라이버 입력 2선 + 모터 출력 2선</x:v>
      </x:c>
      <x:c r="F65" s="4" t="str">
        <x:v>사양·조달 보류</x:v>
      </x:c>
      <x:c r="G65" s="4" t="str">
        <x:v>총8도체 구간이지만 m 수량은 미정. 세트당 길이·단자·방열을 별도 확정.</x:v>
      </x:c>
      <x:c r="H65" s="4" t="str">
        <x:v>https://github.com/JTech-CO/Smart-Cart-Wiring/blob/3ac3f1d793caba6494d27df6f0b9ba2eee8606d5/docs/ASSEMBLY-KR.md</x:v>
      </x:c>
    </x:row>
    <x:row r="66" ht="78" customHeight="1">
      <x:c r="A66" s="4" t="str">
        <x:v>H12</x:v>
      </x:c>
      <x:c r="B66" s="4" t="str">
        <x:v>DC-DC 및 5V/12V 전력 배선</x:v>
      </x:c>
      <x:c r="C66" s="4" t="str">
        <x:v>기본</x:v>
      </x:c>
      <x:c r="D66" s="4"/>
      <x:c r="E66" s="4" t="str">
        <x:v>컨버터·부하별 단면/색상 분리</x:v>
      </x:c>
      <x:c r="F66" s="4" t="str">
        <x:v>사양·조달 보류</x:v>
      </x:c>
      <x:c r="G66" s="4" t="str">
        <x:v>12V/5V 양극을 같은 색만으로 식별하지 말고 전압 라벨 병기.</x:v>
      </x:c>
      <x:c r="H66" s="4" t="str">
        <x:v>https://github.com/JTech-CO/Smart-Cart-Wiring/blob/3ac3f1d793caba6494d27df6f0b9ba2eee8606d5/docs/ASSEMBLY-KR.md</x:v>
      </x:c>
    </x:row>
    <x:row r="67" ht="78" customHeight="1">
      <x:c r="A67" s="4" t="str">
        <x:v>H13</x:v>
      </x:c>
      <x:c r="B67" s="4" t="str">
        <x:v>신호용 다심 하네스</x:v>
      </x:c>
      <x:c r="C67" s="4" t="str">
        <x:v>기본</x:v>
      </x:c>
      <x:c r="D67" s="4"/>
      <x:c r="E67" s="4" t="str">
        <x:v>센서/드라이버별 도체 수·차폐·길이</x:v>
      </x:c>
      <x:c r="F67" s="4" t="str">
        <x:v>사양·조달 보류</x:v>
      </x:c>
      <x:c r="G67" s="4" t="str">
        <x:v>B07의 20cm 점퍼 구매량과 차량 하네스 m를 혼동하지 않음.</x:v>
      </x:c>
      <x:c r="H67" s="4" t="str">
        <x:v>https://github.com/JTech-CO/Smart-Cart-Wiring/blob/3ac3f1d793caba6494d27df6f0b9ba2eee8606d5/docs/ASSEMBLY-KR.md</x:v>
      </x:c>
    </x:row>
    <x:row r="68" ht="78" customHeight="1">
      <x:c r="A68" s="4" t="str">
        <x:v>H14</x:v>
      </x:c>
      <x:c r="B68" s="4" t="str">
        <x:v>고전류 착탈 커넥터</x:v>
      </x:c>
      <x:c r="C68" s="4" t="str">
        <x:v>기본</x:v>
      </x:c>
      <x:c r="D68" s="4"/>
      <x:c r="E68" s="4" t="str">
        <x:v>정격·극성·축전 에너지·방수 조건</x:v>
      </x:c>
      <x:c r="F68" s="4" t="str">
        <x:v>사양·조달 보류</x:v>
      </x:c>
      <x:c r="G68" s="4" t="str">
        <x:v>암/수 결합1쌍 기준. XT60/XT90 등을 실제 분기전류와 무관하게 일괄 지정하지 않음.</x:v>
      </x:c>
      <x:c r="H68" s="4" t="str">
        <x:v>https://github.com/JTech-CO/Smart-Cart-Wiring/blob/3ac3f1d793caba6494d27df6f0b9ba2eee8606d5/docs/ASSEMBLY-KR.md</x:v>
      </x:c>
    </x:row>
    <x:row r="69" ht="78" customHeight="1">
      <x:c r="A69" s="4" t="str">
        <x:v>H15</x:v>
      </x:c>
      <x:c r="B69" s="4" t="str">
        <x:v>링 압착 단자</x:v>
      </x:c>
      <x:c r="C69" s="4" t="str">
        <x:v>기본</x:v>
      </x:c>
      <x:c r="D69" s="4"/>
      <x:c r="E69" s="4" t="str">
        <x:v>케이블 단면 + 스터드 지름 일치</x:v>
      </x:c>
      <x:c r="F69" s="4" t="str">
        <x:v>사양·조달 보류</x:v>
      </x:c>
      <x:c r="G69" s="4" t="str">
        <x:v>M8 표기를 배터리 실측 없이 적용하지 않음. 한 케이블 양끝 중 링 단자 끝만 계수.</x:v>
      </x:c>
      <x:c r="H69" s="4" t="str">
        <x:v>https://github.com/JTech-CO/Smart-Cart-Wiring/blob/3ac3f1d793caba6494d27df6f0b9ba2eee8606d5/docs/ASSEMBLY-KR.md</x:v>
      </x:c>
    </x:row>
    <x:row r="70" ht="78" customHeight="1">
      <x:c r="A70" s="4" t="str">
        <x:v>H16</x:v>
      </x:c>
      <x:c r="B70" s="4" t="str">
        <x:v>페룰·핀 단자</x:v>
      </x:c>
      <x:c r="C70" s="4" t="str">
        <x:v>기본</x:v>
      </x:c>
      <x:c r="D70" s="4"/>
      <x:c r="E70" s="4" t="str">
        <x:v>단자대 허용 페룰 및 도체 단면</x:v>
      </x:c>
      <x:c r="F70" s="4" t="str">
        <x:v>사양·조달 보류</x:v>
      </x:c>
      <x:c r="G70" s="4" t="str">
        <x:v>링 단자와 같은 접속점을 중복 계수하지 않음.</x:v>
      </x:c>
      <x:c r="H70" s="4" t="str">
        <x:v>https://github.com/JTech-CO/Smart-Cart-Wiring/blob/3ac3f1d793caba6494d27df6f0b9ba2eee8606d5/docs/ASSEMBLY-KR.md</x:v>
      </x:c>
    </x:row>
    <x:row r="71" ht="78" customHeight="1">
      <x:c r="A71" s="4" t="str">
        <x:v>H17</x:v>
      </x:c>
      <x:c r="B71" s="4" t="str">
        <x:v>센서 잠금형 커넥터·접점</x:v>
      </x:c>
      <x:c r="C71" s="4" t="str">
        <x:v>기본</x:v>
      </x:c>
      <x:c r="D71" s="4"/>
      <x:c r="E71" s="4" t="str">
        <x:v>암/수하우징·압착접점·실링 모두 포함</x:v>
      </x:c>
      <x:c r="F71" s="4" t="str">
        <x:v>사양·조달 보류</x:v>
      </x:c>
      <x:c r="G71" s="4" t="str">
        <x:v>브레드보드 벤치 검증 후 이전할 최종 하네스. 피치·접점수·도체 굵기별 수량 확정 필요.</x:v>
      </x:c>
      <x:c r="H71" s="4" t="str">
        <x:v>https://github.com/JTech-CO/Smart-Cart-Wiring/blob/3ac3f1d793caba6494d27df6f0b9ba2eee8606d5/docs/ASSEMBLY-KR.md</x:v>
      </x:c>
    </x:row>
    <x:row r="72" ht="78" customHeight="1">
      <x:c r="A72" s="4" t="str">
        <x:v>H18</x:v>
      </x:c>
      <x:c r="B72" s="4" t="str">
        <x:v>배터리 충전 포트·상대 플러그</x:v>
      </x:c>
      <x:c r="C72" s="4" t="str">
        <x:v>기본</x:v>
      </x:c>
      <x:c r="D72" s="4" t="n">
        <x:v>1</x:v>
      </x:c>
      <x:c r="E72" s="4" t="str">
        <x:v>제조사 승인 충전 경로/BMS 조건</x:v>
      </x:c>
      <x:c r="F72" s="4" t="str">
        <x:v>사양·조달 보류</x:v>
      </x:c>
      <x:c r="G72" s="4" t="str">
        <x:v>배터리 팩에 일체형이면 동봉차감. 충전퓨즈 E15와 경로 확인.</x:v>
      </x:c>
      <x:c r="H72" s="4" t="str">
        <x:v>https://github.com/JTech-CO/Smart-Cart-Wiring/blob/3ac3f1d793caba6494d27df6f0b9ba2eee8606d5/docs/ASSEMBLY-KR.md</x:v>
      </x:c>
    </x:row>
    <x:row r="73" ht="78" customHeight="1">
      <x:c r="A73" s="4" t="str">
        <x:v>H19</x:v>
      </x:c>
      <x:c r="B73" s="4" t="str">
        <x:v>좌/우 서보 전력·신호 하네스</x:v>
      </x:c>
      <x:c r="C73" s="4" t="str">
        <x:v>조향옵션</x:v>
      </x:c>
      <x:c r="D73" s="4" t="n">
        <x:v>2</x:v>
      </x:c>
      <x:c r="E73" s="4" t="str">
        <x:v>12V 고전류2선 + PWM/GND기준; 필요시 피드백</x:v>
      </x:c>
      <x:c r="F73" s="4" t="str">
        <x:v>사양·조달 보류</x:v>
      </x:c>
      <x:c r="G73" s="4" t="str">
        <x:v>Dupont/JST 소형점퍼에 서보 스톨전류를 흘리지 않음. 선 색/가닥수 실모델 확인.</x:v>
      </x:c>
      <x:c r="H73" s="4" t="str">
        <x:v>https://github.com/JTech-CO/Smart-Cart-Wiring/blob/3ac3f1d793caba6494d27df6f0b9ba2eee8606d5/docs/ASSEMBLY-KR.md</x:v>
      </x:c>
    </x:row>
    <x:row r="74" ht="78" customHeight="1">
      <x:c r="A74" s="4" t="str">
        <x:v>M01</x:v>
      </x:c>
      <x:c r="B74" s="4" t="str">
        <x:v>케이블 타이</x:v>
      </x:c>
      <x:c r="C74" s="4" t="str">
        <x:v>준비재료</x:v>
      </x:c>
      <x:c r="D74" s="4" t="n">
        <x:v>60</x:v>
      </x:c>
      <x:c r="E74" s="4" t="str">
        <x:v>폭/길이/난연성·내후성 결정</x:v>
      </x:c>
      <x:c r="F74" s="4" t="str">
        <x:v>사양·조달 보류</x:v>
      </x:c>
      <x:c r="G74" s="4" t="str">
        <x:v>실장60은 견적용 준비 기준이지 CAD 산출 아님. 100개 확보 계획; 국내 판매팩 미확정.</x:v>
      </x:c>
      <x:c r="H74" s="4" t="str">
        <x:v>https://github.com/JTech-CO/Smart-Cart-Wiring/blob/3ac3f1d793caba6494d27df6f0b9ba2eee8606d5/docs/ASSEMBLY-KR.md</x:v>
      </x:c>
    </x:row>
    <x:row r="75" ht="78" customHeight="1">
      <x:c r="A75" s="4" t="str">
        <x:v>M02</x:v>
      </x:c>
      <x:c r="B75" s="4" t="str">
        <x:v>열수축 튜브 묶음</x:v>
      </x:c>
      <x:c r="C75" s="4" t="str">
        <x:v>준비재료</x:v>
      </x:c>
      <x:c r="D75" s="4" t="n">
        <x:v>1</x:v>
      </x:c>
      <x:c r="E75" s="4" t="str">
        <x:v>소선/전력선 지름; 접착식 필요 여부</x:v>
      </x:c>
      <x:c r="F75" s="4" t="str">
        <x:v>사양·조달 보류</x:v>
      </x:c>
      <x:c r="G75" s="4" t="str">
        <x:v>정확한 절단 길이와 지름별 수량은 H09~H19 확정 후 산출.</x:v>
      </x:c>
      <x:c r="H75" s="4" t="str">
        <x:v>https://github.com/JTech-CO/Smart-Cart-Wiring/blob/3ac3f1d793caba6494d27df6f0b9ba2eee8606d5/docs/ASSEMBLY-KR.md</x:v>
      </x:c>
    </x:row>
    <x:row r="76" ht="78" customHeight="1">
      <x:c r="A76" s="4" t="str">
        <x:v>M04</x:v>
      </x:c>
      <x:c r="B76" s="4" t="str">
        <x:v>내구성 케이블 라벨</x:v>
      </x:c>
      <x:c r="C76" s="4" t="str">
        <x:v>준비재료</x:v>
      </x:c>
      <x:c r="D76" s="4" t="n">
        <x:v>1</x:v>
      </x:c>
      <x:c r="E76" s="4" t="str">
        <x:v>전압/극성/양끝단자 ID</x:v>
      </x:c>
      <x:c r="F76" s="4" t="str">
        <x:v>사양·조달 보류</x:v>
      </x:c>
      <x:c r="G76" s="4" t="str">
        <x:v>전기 단자194개와 라벨장수194개는 동일하지 않음. 하네스 끝 수 기준 후속 산출.</x:v>
      </x:c>
      <x:c r="H76" s="4" t="str">
        <x:v>https://github.com/JTech-CO/Smart-Cart-Wiring/blob/3ac3f1d793caba6494d27df6f0b9ba2eee8606d5/docs/ASSEMBLY-KR.md</x:v>
      </x:c>
    </x:row>
    <x:row r="77" ht="78" customHeight="1">
      <x:c r="A77" s="4" t="str">
        <x:v>M05</x:v>
      </x:c>
      <x:c r="B77" s="4" t="str">
        <x:v>케이블 글랜드·고무 그로밋</x:v>
      </x:c>
      <x:c r="C77" s="4" t="str">
        <x:v>기본</x:v>
      </x:c>
      <x:c r="D77" s="4"/>
      <x:c r="E77" s="4" t="str">
        <x:v>박스 관통홀·케이블 외경·IP조건</x:v>
      </x:c>
      <x:c r="F77" s="4" t="str">
        <x:v>사양·조달 보류</x:v>
      </x:c>
      <x:c r="G77" s="4" t="str">
        <x:v>최종 박스 입출구 수가 없으므로 수량 확정 불가.</x:v>
      </x:c>
      <x:c r="H77" s="4" t="str">
        <x:v>https://github.com/JTech-CO/Smart-Cart-Wiring/blob/3ac3f1d793caba6494d27df6f0b9ba2eee8606d5/docs/ASSEMBLY-KR.md</x:v>
      </x:c>
    </x:row>
    <x:row r="78" ht="78" customHeight="1">
      <x:c r="A78" s="4" t="str">
        <x:v>M06</x:v>
      </x:c>
      <x:c r="B78" s="4" t="str">
        <x:v>케이블 고정 클램프·P클립</x:v>
      </x:c>
      <x:c r="C78" s="4" t="str">
        <x:v>기본</x:v>
      </x:c>
      <x:c r="D78" s="4"/>
      <x:c r="E78" s="4" t="str">
        <x:v>프레임 장착방법/케이블 외경</x:v>
      </x:c>
      <x:c r="F78" s="4" t="str">
        <x:v>사양·조달 보류</x:v>
      </x:c>
      <x:c r="G78" s="4" t="str">
        <x:v>최대 지지 간격·이동 관절을 고려한 배치 후 계수.</x:v>
      </x:c>
      <x:c r="H78" s="4" t="str">
        <x:v>https://github.com/JTech-CO/Smart-Cart-Wiring/blob/3ac3f1d793caba6494d27df6f0b9ba2eee8606d5/docs/ASSEMBLY-KR.md</x:v>
      </x:c>
    </x:row>
    <x:row r="79" ht="78" customHeight="1">
      <x:c r="A79" s="4" t="str">
        <x:v>M07</x:v>
      </x:c>
      <x:c r="B79" s="4" t="str">
        <x:v>전기 절연 테이프</x:v>
      </x:c>
      <x:c r="C79" s="4" t="str">
        <x:v>준비재료</x:v>
      </x:c>
      <x:c r="D79" s="4" t="n">
        <x:v>1</x:v>
      </x:c>
      <x:c r="E79" s="4" t="str">
        <x:v>전기용 정격 제품</x:v>
      </x:c>
      <x:c r="F79" s="4" t="str">
        <x:v>사양·조달 보류</x:v>
      </x:c>
      <x:c r="G79" s="4" t="str">
        <x:v>압착 불량/단자 보호 커버 부재를 테이프로 대신하지 않음.</x:v>
      </x:c>
      <x:c r="H79" s="4" t="str">
        <x:v>https://github.com/JTech-CO/Smart-Cart-Wiring/blob/3ac3f1d793caba6494d27df6f0b9ba2eee8606d5/docs/ASSEMBLY-KR.md</x:v>
      </x:c>
    </x:row>
    <x:row r="80" ht="78" customHeight="1">
      <x:c r="A80" s="4" t="str">
        <x:v>M08</x:v>
      </x:c>
      <x:c r="B80" s="4" t="str">
        <x:v>납·플럭스·세척 재료</x:v>
      </x:c>
      <x:c r="C80" s="4" t="str">
        <x:v>준비재료</x:v>
      </x:c>
      <x:c r="D80" s="4" t="n">
        <x:v>1</x:v>
      </x:c>
      <x:c r="E80" s="4" t="str">
        <x:v>헤더 조립/벤치 작업용</x:v>
      </x:c>
      <x:c r="F80" s="4" t="str">
        <x:v>사양·조달 보류</x:v>
      </x:c>
      <x:c r="G80" s="4" t="str">
        <x:v>장비/재료 보유 시 차감. 대전류 러그는 적절한 압착 공구 사용.</x:v>
      </x:c>
      <x:c r="H80" s="4" t="str">
        <x:v>https://github.com/JTech-CO/Smart-Cart-Wiring/blob/3ac3f1d793caba6494d27df6f0b9ba2eee8606d5/docs/ASSEMBLY-KR.md</x:v>
      </x:c>
    </x:row>
    <x:row r="81" ht="78" customHeight="1">
      <x:c r="A81" s="4" t="str">
        <x:v>G01</x:v>
      </x:c>
      <x:c r="B81" s="4" t="str">
        <x:v>평판대차 기본 프레임·적재판</x:v>
      </x:c>
      <x:c r="C81" s="4" t="str">
        <x:v>기본</x:v>
      </x:c>
      <x:c r="D81" s="4" t="n">
        <x:v>1</x:v>
      </x:c>
      <x:c r="E81" s="4" t="str">
        <x:v>하중·치수·무게중심 확정</x:v>
      </x:c>
      <x:c r="F81" s="4" t="str">
        <x:v>사양·조달 보류</x:v>
      </x:c>
      <x:c r="G81" s="4" t="str">
        <x:v>기존 대차 사용 여부를 보유 수량에 입력. 가드/손잡이/캐스터 동봉 확인.</x:v>
      </x:c>
      <x:c r="H81" s="4" t="str">
        <x:v>https://github.com/JTech-CO/Smart-Cart/blob/2b4b8fea6909e4f76b4a52b02c5075c3f478097b/js/cart-model.js</x:v>
      </x:c>
    </x:row>
    <x:row r="82" ht="78" customHeight="1">
      <x:c r="A82" s="4" t="str">
        <x:v>G02</x:v>
      </x:c>
      <x:c r="B82" s="4" t="str">
        <x:v>삼면 가드 프레임</x:v>
      </x:c>
      <x:c r="C82" s="4" t="str">
        <x:v>기본</x:v>
      </x:c>
      <x:c r="D82" s="4" t="n">
        <x:v>1</x:v>
      </x:c>
      <x:c r="E82" s="4" t="str">
        <x:v>튜브 단면·재료·용접/브래킷 방식</x:v>
      </x:c>
      <x:c r="F82" s="4" t="str">
        <x:v>사양·조달 보류</x:v>
      </x:c>
      <x:c r="G82" s="4" t="str">
        <x:v>3D는 시각화 치수. 파이프 절단 길이와 체결부 수는 별도 실측 필요.</x:v>
      </x:c>
      <x:c r="H82" s="4" t="str">
        <x:v>https://github.com/JTech-CO/Smart-Cart/blob/2b4b8fea6909e4f76b4a52b02c5075c3f478097b/js/cart-model.js</x:v>
      </x:c>
    </x:row>
    <x:row r="83" ht="78" customHeight="1">
      <x:c r="A83" s="4" t="str">
        <x:v>G03</x:v>
      </x:c>
      <x:c r="B83" s="4" t="str">
        <x:v>접이식 손잡이</x:v>
      </x:c>
      <x:c r="C83" s="4" t="str">
        <x:v>기본</x:v>
      </x:c>
      <x:c r="D83" s="4" t="n">
        <x:v>1</x:v>
      </x:c>
      <x:c r="E83" s="4" t="str">
        <x:v>파지 높이·잠금·힌지 지지</x:v>
      </x:c>
      <x:c r="F83" s="4" t="str">
        <x:v>사양·조달 보류</x:v>
      </x:c>
      <x:c r="G83" s="4" t="str">
        <x:v>G01에 포함 시 차감.</x:v>
      </x:c>
      <x:c r="H83" s="4" t="str">
        <x:v>https://github.com/JTech-CO/Smart-Cart/blob/2b4b8fea6909e4f76b4a52b02c5075c3f478097b/js/cart-model.js</x:v>
      </x:c>
    </x:row>
    <x:row r="84" ht="78" customHeight="1">
      <x:c r="A84" s="4" t="str">
        <x:v>G04</x:v>
      </x:c>
      <x:c r="B84" s="4" t="str">
        <x:v>손잡이 힌지·잠금부</x:v>
      </x:c>
      <x:c r="C84" s="4" t="str">
        <x:v>기본</x:v>
      </x:c>
      <x:c r="D84" s="4" t="n">
        <x:v>2</x:v>
      </x:c>
      <x:c r="E84" s="4" t="str">
        <x:v>좌/우 각1; 기구 강도</x:v>
      </x:c>
      <x:c r="F84" s="4" t="str">
        <x:v>사양·조달 보류</x:v>
      </x:c>
      <x:c r="G84" s="4" t="str">
        <x:v>G03 세트에 포함될 경우 중복 발주 금지.</x:v>
      </x:c>
      <x:c r="H84" s="4" t="str">
        <x:v>https://github.com/JTech-CO/Smart-Cart/blob/2b4b8fea6909e4f76b4a52b02c5075c3f478097b/js/cart-model.js</x:v>
      </x:c>
    </x:row>
    <x:row r="85" ht="78" customHeight="1">
      <x:c r="A85" s="4" t="str">
        <x:v>G05</x:v>
      </x:c>
      <x:c r="B85" s="4" t="str">
        <x:v>손잡이 그립</x:v>
      </x:c>
      <x:c r="C85" s="4" t="str">
        <x:v>기본</x:v>
      </x:c>
      <x:c r="D85" s="4" t="n">
        <x:v>1</x:v>
      </x:c>
      <x:c r="E85" s="4" t="str">
        <x:v>손잡이 관경·길이</x:v>
      </x:c>
      <x:c r="F85" s="4" t="str">
        <x:v>사양·조달 보류</x:v>
      </x:c>
      <x:c r="G85" s="4" t="str">
        <x:v>G03에 포함 시 차감.</x:v>
      </x:c>
      <x:c r="H85" s="4" t="str">
        <x:v>https://github.com/JTech-CO/Smart-Cart/blob/2b4b8fea6909e4f76b4a52b02c5075c3f478097b/js/cart-model.js</x:v>
      </x:c>
    </x:row>
    <x:row r="86" ht="78" customHeight="1">
      <x:c r="A86" s="4" t="str">
        <x:v>G06</x:v>
      </x:c>
      <x:c r="B86" s="4" t="str">
        <x:v>미끄럼방지 적재 매트</x:v>
      </x:c>
      <x:c r="C86" s="4" t="str">
        <x:v>기본</x:v>
      </x:c>
      <x:c r="D86" s="4" t="n">
        <x:v>1</x:v>
      </x:c>
      <x:c r="E86" s="4" t="str">
        <x:v>실제 적재판 외형</x:v>
      </x:c>
      <x:c r="F86" s="4" t="str">
        <x:v>사양·조달 보류</x:v>
      </x:c>
      <x:c r="G86" s="4" t="str">
        <x:v>기성 대차 표면에 이미 적용되어 있으면 차감.</x:v>
      </x:c>
      <x:c r="H86" s="4" t="str">
        <x:v>https://github.com/JTech-CO/Smart-Cart/blob/2b4b8fea6909e4f76b4a52b02c5075c3f478097b/js/cart-model.js</x:v>
      </x:c>
    </x:row>
    <x:row r="87" ht="78" customHeight="1">
      <x:c r="A87" s="4" t="str">
        <x:v>G07</x:v>
      </x:c>
      <x:c r="B87" s="4" t="str">
        <x:v>후륜 구동 휠</x:v>
      </x:c>
      <x:c r="C87" s="4" t="str">
        <x:v>기본</x:v>
      </x:c>
      <x:c r="D87" s="4" t="n">
        <x:v>2</x:v>
      </x:c>
      <x:c r="E87" s="4" t="str">
        <x:v>외경·폭·허브·허용하중</x:v>
      </x:c>
      <x:c r="F87" s="4" t="str">
        <x:v>사양·조달 보류</x:v>
      </x:c>
      <x:c r="G87" s="4" t="str">
        <x:v>외관 직경 추정치를 실측값처럼 발주하지 않음.</x:v>
      </x:c>
      <x:c r="H87" s="4" t="str">
        <x:v>https://github.com/JTech-CO/Smart-Cart/blob/2b4b8fea6909e4f76b4a52b02c5075c3f478097b/js/cart-model.js</x:v>
      </x:c>
    </x:row>
    <x:row r="88" ht="78" customHeight="1">
      <x:c r="A88" s="4" t="str">
        <x:v>G08</x:v>
      </x:c>
      <x:c r="B88" s="4" t="str">
        <x:v>전륜 자유회전 캐스터</x:v>
      </x:c>
      <x:c r="C88" s="4" t="str">
        <x:v>기본</x:v>
      </x:c>
      <x:c r="D88" s="4" t="n">
        <x:v>2</x:v>
      </x:c>
      <x:c r="E88" s="4" t="str">
        <x:v>회전반경·플레이트·하중</x:v>
      </x:c>
      <x:c r="F88" s="4" t="str">
        <x:v>사양·조달 보류</x:v>
      </x:c>
      <x:c r="G88" s="4" t="str">
        <x:v>기본 차동구동용. G01 포함이면 차감; 서보조향 채택 시 기구 재설계.</x:v>
      </x:c>
      <x:c r="H88" s="4" t="str">
        <x:v>https://github.com/JTech-CO/Smart-Cart/blob/2b4b8fea6909e4f76b4a52b02c5075c3f478097b/js/cart-model.js</x:v>
      </x:c>
    </x:row>
    <x:row r="89" ht="78" customHeight="1">
      <x:c r="A89" s="4" t="str">
        <x:v>G09</x:v>
      </x:c>
      <x:c r="B89" s="4" t="str">
        <x:v>모터 출력 허브·커플링</x:v>
      </x:c>
      <x:c r="C89" s="4" t="str">
        <x:v>기본</x:v>
      </x:c>
      <x:c r="D89" s="4" t="n">
        <x:v>2</x:v>
      </x:c>
      <x:c r="E89" s="4" t="str">
        <x:v>축경/키/체결/토크 일치</x:v>
      </x:c>
      <x:c r="F89" s="4" t="str">
        <x:v>사양·조달 보류</x:v>
      </x:c>
      <x:c r="G89" s="4" t="str">
        <x:v>기어모터와 구동 휠을 잇는 좌/우2세트.</x:v>
      </x:c>
      <x:c r="H89" s="4" t="str">
        <x:v>https://github.com/JTech-CO/Smart-Cart/blob/2b4b8fea6909e4f76b4a52b02c5075c3f478097b/js/cart-model.js</x:v>
      </x:c>
    </x:row>
    <x:row r="90" ht="78" customHeight="1">
      <x:c r="A90" s="4" t="str">
        <x:v>G10</x:v>
      </x:c>
      <x:c r="B90" s="4" t="str">
        <x:v>모터 장착 브래킷</x:v>
      </x:c>
      <x:c r="C90" s="4" t="str">
        <x:v>기본</x:v>
      </x:c>
      <x:c r="D90" s="4" t="n">
        <x:v>2</x:v>
      </x:c>
      <x:c r="E90" s="4" t="str">
        <x:v>모터 체결홀·차체 지지</x:v>
      </x:c>
      <x:c r="F90" s="4" t="str">
        <x:v>사양·조달 보류</x:v>
      </x:c>
      <x:c r="G90" s="4" t="str">
        <x:v>절곡/가공 도면 및 볼트 부품표 별도.</x:v>
      </x:c>
      <x:c r="H90" s="4" t="str">
        <x:v>https://github.com/JTech-CO/Smart-Cart/blob/2b4b8fea6909e4f76b4a52b02c5075c3f478097b/js/cart-model.js</x:v>
      </x:c>
    </x:row>
    <x:row r="91" ht="78" customHeight="1">
      <x:c r="A91" s="4" t="str">
        <x:v>G11</x:v>
      </x:c>
      <x:c r="B91" s="4" t="str">
        <x:v>구동 휠 펜더</x:v>
      </x:c>
      <x:c r="C91" s="4" t="str">
        <x:v>기본</x:v>
      </x:c>
      <x:c r="D91" s="4" t="n">
        <x:v>2</x:v>
      </x:c>
      <x:c r="E91" s="4" t="str">
        <x:v>타이어 간섭·손 끼임 방지</x:v>
      </x:c>
      <x:c r="F91" s="4" t="str">
        <x:v>사양·조달 보류</x:v>
      </x:c>
      <x:c r="G91" s="4" t="str">
        <x:v>시각화 모델 2개. 최종 형상/강성은 미확정.</x:v>
      </x:c>
      <x:c r="H91" s="4" t="str">
        <x:v>https://github.com/JTech-CO/Smart-Cart/blob/2b4b8fea6909e4f76b4a52b02c5075c3f478097b/js/cart-model.js</x:v>
      </x:c>
    </x:row>
    <x:row r="92" ht="78" customHeight="1">
      <x:c r="A92" s="4" t="str">
        <x:v>G12</x:v>
      </x:c>
      <x:c r="B92" s="4" t="str">
        <x:v>배터리 보호 박스</x:v>
      </x:c>
      <x:c r="C92" s="4" t="str">
        <x:v>기본</x:v>
      </x:c>
      <x:c r="D92" s="4" t="n">
        <x:v>1</x:v>
      </x:c>
      <x:c r="E92" s="4" t="str">
        <x:v>실제 E01 외형·통기·절연</x:v>
      </x:c>
      <x:c r="F92" s="4" t="str">
        <x:v>사양·조달 보류</x:v>
      </x:c>
      <x:c r="G92" s="4" t="str">
        <x:v>108Ah 팩이 기존 3D 박스에 들어간다고 가정하지 않음.</x:v>
      </x:c>
      <x:c r="H92" s="4" t="str">
        <x:v>https://github.com/JTech-CO/Smart-Cart/blob/2b4b8fea6909e4f76b4a52b02c5075c3f478097b/js/cart-model.js</x:v>
      </x:c>
    </x:row>
    <x:row r="93" ht="78" customHeight="1">
      <x:c r="A93" s="4" t="str">
        <x:v>G13</x:v>
      </x:c>
      <x:c r="B93" s="4" t="str">
        <x:v>배터리 박스 뚜껑</x:v>
      </x:c>
      <x:c r="C93" s="4" t="str">
        <x:v>기본</x:v>
      </x:c>
      <x:c r="D93" s="4" t="n">
        <x:v>1</x:v>
      </x:c>
      <x:c r="E93" s="4" t="str">
        <x:v>G12 전용</x:v>
      </x:c>
      <x:c r="F93" s="4" t="str">
        <x:v>사양·조달 보류</x:v>
      </x:c>
      <x:c r="G93" s="4" t="str">
        <x:v>G12 일체형 제품이면 차감.</x:v>
      </x:c>
      <x:c r="H93" s="4" t="str">
        <x:v>https://github.com/JTech-CO/Smart-Cart/blob/2b4b8fea6909e4f76b4a52b02c5075c3f478097b/js/cart-model.js</x:v>
      </x:c>
    </x:row>
    <x:row r="94" ht="78" customHeight="1">
      <x:c r="A94" s="4" t="str">
        <x:v>G14</x:v>
      </x:c>
      <x:c r="B94" s="4" t="str">
        <x:v>배터리 고정 스트랩</x:v>
      </x:c>
      <x:c r="C94" s="4" t="str">
        <x:v>기본</x:v>
      </x:c>
      <x:c r="D94" s="4" t="n">
        <x:v>2</x:v>
      </x:c>
      <x:c r="E94" s="4" t="str">
        <x:v>관성하중·장력·내마모</x:v>
      </x:c>
      <x:c r="F94" s="4" t="str">
        <x:v>사양·조달 보류</x:v>
      </x:c>
      <x:c r="G94" s="4" t="str">
        <x:v>3D 양쪽 스트랩2개. 적합 강도와 박스 체결 검증 필요.</x:v>
      </x:c>
      <x:c r="H94" s="4" t="str">
        <x:v>https://github.com/JTech-CO/Smart-Cart/blob/2b4b8fea6909e4f76b4a52b02c5075c3f478097b/js/cart-model.js</x:v>
      </x:c>
    </x:row>
    <x:row r="95" ht="78" customHeight="1">
      <x:c r="A95" s="4" t="str">
        <x:v>G15</x:v>
      </x:c>
      <x:c r="B95" s="4" t="str">
        <x:v>전장 트레이/함체</x:v>
      </x:c>
      <x:c r="C95" s="4" t="str">
        <x:v>기본</x:v>
      </x:c>
      <x:c r="D95" s="4" t="n">
        <x:v>1</x:v>
      </x:c>
      <x:c r="E95" s="4" t="str">
        <x:v>PCB·단자대 공간·통풍·서비스 간격</x:v>
      </x:c>
      <x:c r="F95" s="4" t="str">
        <x:v>사양·조달 보류</x:v>
      </x:c>
      <x:c r="G95" s="4" t="str">
        <x:v>기구 결합 시 판두께와 장착홀 실측.</x:v>
      </x:c>
      <x:c r="H95" s="4" t="str">
        <x:v>https://github.com/JTech-CO/Smart-Cart/blob/2b4b8fea6909e4f76b4a52b02c5075c3f478097b/js/cart-model.js</x:v>
      </x:c>
    </x:row>
    <x:row r="96" ht="78" customHeight="1">
      <x:c r="A96" s="4" t="str">
        <x:v>G16</x:v>
      </x:c>
      <x:c r="B96" s="4" t="str">
        <x:v>전장 보호 커버</x:v>
      </x:c>
      <x:c r="C96" s="4" t="str">
        <x:v>기본</x:v>
      </x:c>
      <x:c r="D96" s="4" t="n">
        <x:v>1</x:v>
      </x:c>
      <x:c r="E96" s="4" t="str">
        <x:v>G15 대응; 전력단자 접근 방지</x:v>
      </x:c>
      <x:c r="F96" s="4" t="str">
        <x:v>사양·조달 보류</x:v>
      </x:c>
      <x:c r="G96" s="4" t="str">
        <x:v>G15 완제품에 포함되면 차감.</x:v>
      </x:c>
      <x:c r="H96" s="4" t="str">
        <x:v>https://github.com/JTech-CO/Smart-Cart/blob/2b4b8fea6909e4f76b4a52b02c5075c3f478097b/js/cart-model.js</x:v>
      </x:c>
    </x:row>
    <x:row r="97" ht="78" customHeight="1">
      <x:c r="A97" s="4" t="str">
        <x:v>G17</x:v>
      </x:c>
      <x:c r="B97" s="4" t="str">
        <x:v>LiDAR 장착 브래킷</x:v>
      </x:c>
      <x:c r="C97" s="4" t="str">
        <x:v>기본</x:v>
      </x:c>
      <x:c r="D97" s="4" t="n">
        <x:v>1</x:v>
      </x:c>
      <x:c r="E97" s="4" t="str">
        <x:v>C1 스캔면과 차체 가림 최소화</x:v>
      </x:c>
      <x:c r="F97" s="4" t="str">
        <x:v>사양·조달 보류</x:v>
      </x:c>
      <x:c r="G97" s="4" t="str">
        <x:v>제조사 실제 체결홀로 도면 작성.</x:v>
      </x:c>
      <x:c r="H97" s="4" t="str">
        <x:v>https://github.com/JTech-CO/Smart-Cart/blob/2b4b8fea6909e4f76b4a52b02c5075c3f478097b/js/cart-model.js</x:v>
      </x:c>
    </x:row>
    <x:row r="98" ht="78" customHeight="1">
      <x:c r="A98" s="4" t="str">
        <x:v>G18</x:v>
      </x:c>
      <x:c r="B98" s="4" t="str">
        <x:v>UWB 보호 하우징</x:v>
      </x:c>
      <x:c r="C98" s="4" t="str">
        <x:v>기본</x:v>
      </x:c>
      <x:c r="D98" s="4" t="n">
        <x:v>2</x:v>
      </x:c>
      <x:c r="E98" s="4" t="str">
        <x:v>좌/우 베이스; RF 비차폐 위치</x:v>
      </x:c>
      <x:c r="F98" s="4" t="str">
        <x:v>사양·조달 보류</x:v>
      </x:c>
      <x:c r="G98" s="4" t="str">
        <x:v>금속 차폐/안테나 가림 피하고 실제 보드 외형 확인.</x:v>
      </x:c>
      <x:c r="H98" s="4" t="str">
        <x:v>https://github.com/JTech-CO/Smart-Cart/blob/2b4b8fea6909e4f76b4a52b02c5075c3f478097b/js/cart-model.js</x:v>
      </x:c>
    </x:row>
    <x:row r="99" ht="78" customHeight="1">
      <x:c r="A99" s="4" t="str">
        <x:v>G19</x:v>
      </x:c>
      <x:c r="B99" s="4" t="str">
        <x:v>UWB 차체 장착 브래킷</x:v>
      </x:c>
      <x:c r="C99" s="4" t="str">
        <x:v>기본</x:v>
      </x:c>
      <x:c r="D99" s="4" t="n">
        <x:v>2</x:v>
      </x:c>
      <x:c r="E99" s="4" t="str">
        <x:v>좌/우 기준 간격 고정</x:v>
      </x:c>
      <x:c r="F99" s="4" t="str">
        <x:v>사양·조달 보류</x:v>
      </x:c>
      <x:c r="G99" s="4" t="str">
        <x:v>하우징 일체형 장착부면 차감.</x:v>
      </x:c>
      <x:c r="H99" s="4" t="str">
        <x:v>https://github.com/JTech-CO/Smart-Cart/blob/2b4b8fea6909e4f76b4a52b02c5075c3f478097b/js/cart-model.js</x:v>
      </x:c>
    </x:row>
    <x:row r="100" ht="78" customHeight="1">
      <x:c r="A100" s="4" t="str">
        <x:v>G20</x:v>
      </x:c>
      <x:c r="B100" s="4" t="str">
        <x:v>ToF 보호 하우징·마운트</x:v>
      </x:c>
      <x:c r="C100" s="4" t="str">
        <x:v>기본</x:v>
      </x:c>
      <x:c r="D100" s="4" t="n">
        <x:v>2</x:v>
      </x:c>
      <x:c r="E100" s="4" t="str">
        <x:v>하향 좌/우 시야·바닥간격</x:v>
      </x:c>
      <x:c r="F100" s="4" t="str">
        <x:v>사양·조달 보류</x:v>
      </x:c>
      <x:c r="G100" s="4" t="str">
        <x:v>3D 개수2로 통합. 광학창/커버 적용 시 센서 교정 검토.</x:v>
      </x:c>
      <x:c r="H100" s="4" t="str">
        <x:v>https://github.com/JTech-CO/Smart-Cart/blob/2b4b8fea6909e4f76b4a52b02c5075c3f478097b/js/cart-model.js</x:v>
      </x:c>
    </x:row>
    <x:row r="101" ht="78" customHeight="1">
      <x:c r="A101" s="4" t="str">
        <x:v>G21</x:v>
      </x:c>
      <x:c r="B101" s="4" t="str">
        <x:v>IMU 고정 브래킷</x:v>
      </x:c>
      <x:c r="C101" s="4" t="str">
        <x:v>기본</x:v>
      </x:c>
      <x:c r="D101" s="4" t="n">
        <x:v>1</x:v>
      </x:c>
      <x:c r="E101" s="4" t="str">
        <x:v>차체 기준축에 강성 고정</x:v>
      </x:c>
      <x:c r="F101" s="4" t="str">
        <x:v>사양·조달 보류</x:v>
      </x:c>
      <x:c r="G101" s="4" t="str">
        <x:v>가동 손잡이나 유연한 케이블에 고정하지 않음.</x:v>
      </x:c>
      <x:c r="H101" s="4" t="str">
        <x:v>https://github.com/JTech-CO/Smart-Cart/blob/2b4b8fea6909e4f76b4a52b02c5075c3f478097b/js/cart-model.js</x:v>
      </x:c>
    </x:row>
    <x:row r="102" ht="78" customHeight="1">
      <x:c r="A102" s="4" t="str">
        <x:v>G22</x:v>
      </x:c>
      <x:c r="B102" s="4" t="str">
        <x:v>사용자 태그 케이스·스트랩</x:v>
      </x:c>
      <x:c r="C102" s="4" t="str">
        <x:v>기본</x:v>
      </x:c>
      <x:c r="D102" s="4" t="n">
        <x:v>1</x:v>
      </x:c>
      <x:c r="E102" s="4" t="str">
        <x:v>휴대·낙하보호·안테나</x:v>
      </x:c>
      <x:c r="F102" s="4" t="str">
        <x:v>사양·조달 보류</x:v>
      </x:c>
      <x:c r="G102" s="4" t="str">
        <x:v>태그 키트에 포함 시 차감.</x:v>
      </x:c>
      <x:c r="H102" s="4" t="str">
        <x:v>https://github.com/JTech-CO/Smart-Cart/blob/2b4b8fea6909e4f76b4a52b02c5075c3f478097b/js/cart-model.js</x:v>
      </x:c>
    </x:row>
    <x:row r="103" ht="78" customHeight="1">
      <x:c r="A103" s="4" t="str">
        <x:v>G23</x:v>
      </x:c>
      <x:c r="B103" s="4" t="str">
        <x:v>비상정지·재무장 조작함</x:v>
      </x:c>
      <x:c r="C103" s="4" t="str">
        <x:v>기본</x:v>
      </x:c>
      <x:c r="D103" s="4" t="n">
        <x:v>1</x:v>
      </x:c>
      <x:c r="E103" s="4" t="str">
        <x:v>S1/S2 접근·방수·배선 인출</x:v>
      </x:c>
      <x:c r="F103" s="4" t="str">
        <x:v>사양·조달 보류</x:v>
      </x:c>
      <x:c r="G103" s="4" t="str">
        <x:v>버튼과 박스 홀 지름 일치.</x:v>
      </x:c>
      <x:c r="H103" s="4" t="str">
        <x:v>https://github.com/JTech-CO/Smart-Cart/blob/2b4b8fea6909e4f76b4a52b02c5075c3f478097b/js/cart-model.js</x:v>
      </x:c>
    </x:row>
    <x:row r="104" ht="78" customHeight="1">
      <x:c r="A104" s="4" t="str">
        <x:v>G24</x:v>
      </x:c>
      <x:c r="B104" s="4" t="str">
        <x:v>전면 범퍼</x:v>
      </x:c>
      <x:c r="C104" s="4" t="str">
        <x:v>기본</x:v>
      </x:c>
      <x:c r="D104" s="4" t="n">
        <x:v>1</x:v>
      </x:c>
      <x:c r="E104" s="4" t="str">
        <x:v>차체 충격 완화·센서 가림 없음</x:v>
      </x:c>
      <x:c r="F104" s="4" t="str">
        <x:v>사양·조달 보류</x:v>
      </x:c>
      <x:c r="G104" s="4" t="str">
        <x:v>3D 표현 참조; 접촉식 안전장치와 동일하지 않음.</x:v>
      </x:c>
      <x:c r="H104" s="4" t="str">
        <x:v>https://github.com/JTech-CO/Smart-Cart/blob/2b4b8fea6909e4f76b4a52b02c5075c3f478097b/js/cart-model.js</x:v>
      </x:c>
    </x:row>
    <x:row r="105" ht="78" customHeight="1">
      <x:c r="A105" s="4" t="str">
        <x:v>G25</x:v>
      </x:c>
      <x:c r="B105" s="4" t="str">
        <x:v>볼트·너트·와셔·스페이서</x:v>
      </x:c>
      <x:c r="C105" s="4" t="str">
        <x:v>기본</x:v>
      </x:c>
      <x:c r="D105" s="4"/>
      <x:c r="E105" s="4" t="str">
        <x:v>체결홀/부재두께/강도등급별 분할 산출</x:v>
      </x:c>
      <x:c r="F105" s="4" t="str">
        <x:v>사양·조달 보류</x:v>
      </x:c>
      <x:c r="G105" s="4" t="str">
        <x:v>시각화용 반복 볼트 메시를 구매 수량으로 세지 않음. 부품별 M2.5/M3/M6/M8 등 규격도 미확정.</x:v>
      </x:c>
      <x:c r="H105" s="4" t="str">
        <x:v>https://github.com/JTech-CO/Smart-Cart/blob/2b4b8fea6909e4f76b4a52b02c5075c3f478097b/js/cart-model.js</x:v>
      </x:c>
    </x:row>
    <x:row r="106" ht="78" customHeight="1">
      <x:c r="A106" s="4" t="str">
        <x:v>G26</x:v>
      </x:c>
      <x:c r="B106" s="4" t="str">
        <x:v>프레임 코너·용접/절곡 재료</x:v>
      </x:c>
      <x:c r="C106" s="4" t="str">
        <x:v>기본</x:v>
      </x:c>
      <x:c r="D106" s="4"/>
      <x:c r="E106" s="4" t="str">
        <x:v>기성대차 개조 방식에 따른 도면</x:v>
      </x:c>
      <x:c r="F106" s="4" t="str">
        <x:v>사양·조달 보류</x:v>
      </x:c>
      <x:c r="G106" s="4" t="str">
        <x:v>G01/G02 완제품 가공 견적에 포함되면 별도 자재 발주하지 않음.</x:v>
      </x:c>
      <x:c r="H106" s="4" t="str">
        <x:v>https://github.com/JTech-CO/Smart-Cart/blob/2b4b8fea6909e4f76b4a52b02c5075c3f478097b/js/cart-model.js</x:v>
      </x:c>
    </x:row>
    <x:row r="107" ht="78" customHeight="1">
      <x:c r="A107" s="4" t="str">
        <x:v>T02</x:v>
      </x:c>
      <x:c r="B107" s="4" t="str">
        <x:v>전류 제한 DC 실험실 전원</x:v>
      </x:c>
      <x:c r="C107" s="4" t="str">
        <x:v>공구</x:v>
      </x:c>
      <x:c r="D107" s="4" t="n">
        <x:v>1</x:v>
      </x:c>
      <x:c r="E107" s="4" t="str">
        <x:v>회로별 필요한 전압/전류; 초기 모듈 시험용</x:v>
      </x:c>
      <x:c r="F107" s="4" t="str">
        <x:v>사양·조달 보류</x:v>
      </x:c>
      <x:c r="G107" s="4" t="str">
        <x:v>기존 실험실 장비 우선 사용. 카트 실장 부품으로 합산하지 않음.</x:v>
      </x:c>
      <x:c r="H107" s="4" t="str">
        <x:v>https://github.com/JTech-CO/Smart-Cart-Wiring/blob/3ac3f1d793caba6494d27df6f0b9ba2eee8606d5/docs/ASSEMBLY-KR.md</x:v>
      </x:c>
    </x:row>
    <x:row r="108" ht="78" customHeight="1">
      <x:c r="A108" s="4" t="str">
        <x:v>T03</x:v>
      </x:c>
      <x:c r="B108" s="4" t="str">
        <x:v>디지털 멀티미터</x:v>
      </x:c>
      <x:c r="C108" s="4" t="str">
        <x:v>공구</x:v>
      </x:c>
      <x:c r="D108" s="4" t="n">
        <x:v>1</x:v>
      </x:c>
      <x:c r="E108" s="4" t="str">
        <x:v>DC전압·도통; 퓨즈 보호 입력</x:v>
      </x:c>
      <x:c r="F108" s="4" t="str">
        <x:v>사양·조달 보류</x:v>
      </x:c>
      <x:c r="G108" s="4" t="str">
        <x:v>기존 실험실 장비 우선 사용. 카트 실장 부품으로 합산하지 않음.</x:v>
      </x:c>
      <x:c r="H108" s="4" t="str">
        <x:v>https://github.com/JTech-CO/Smart-Cart-Wiring/blob/3ac3f1d793caba6494d27df6f0b9ba2eee8606d5/docs/ASSEMBLY-KR.md</x:v>
      </x:c>
    </x:row>
    <x:row r="109" ht="78" customHeight="1">
      <x:c r="A109" s="4" t="str">
        <x:v>T04</x:v>
      </x:c>
      <x:c r="B109" s="4" t="str">
        <x:v>DC 전류 클램프</x:v>
      </x:c>
      <x:c r="C109" s="4" t="str">
        <x:v>공구</x:v>
      </x:c>
      <x:c r="D109" s="4" t="n">
        <x:v>1</x:v>
      </x:c>
      <x:c r="E109" s="4" t="str">
        <x:v>기동전류 측정 범위/대역폭</x:v>
      </x:c>
      <x:c r="F109" s="4" t="str">
        <x:v>사양·조달 보류</x:v>
      </x:c>
      <x:c r="G109" s="4" t="str">
        <x:v>기존 실험실 장비 우선 사용. 카트 실장 부품으로 합산하지 않음.</x:v>
      </x:c>
      <x:c r="H109" s="4" t="str">
        <x:v>https://github.com/JTech-CO/Smart-Cart-Wiring/blob/3ac3f1d793caba6494d27df6f0b9ba2eee8606d5/docs/ASSEMBLY-KR.md</x:v>
      </x:c>
    </x:row>
    <x:row r="110" ht="78" customHeight="1">
      <x:c r="A110" s="4" t="str">
        <x:v>T05</x:v>
      </x:c>
      <x:c r="B110" s="4" t="str">
        <x:v>압착 공구·스트리퍼</x:v>
      </x:c>
      <x:c r="C110" s="4" t="str">
        <x:v>공구</x:v>
      </x:c>
      <x:c r="D110" s="4" t="n">
        <x:v>1</x:v>
      </x:c>
      <x:c r="E110" s="4" t="str">
        <x:v>선정 러그·페룰·접점에 맞는 다이</x:v>
      </x:c>
      <x:c r="F110" s="4" t="str">
        <x:v>사양·조달 보류</x:v>
      </x:c>
      <x:c r="G110" s="4" t="str">
        <x:v>기존 실험실 장비 우선 사용. 카트 실장 부품으로 합산하지 않음.</x:v>
      </x:c>
      <x:c r="H110" s="4" t="str">
        <x:v>https://github.com/JTech-CO/Smart-Cart-Wiring/blob/3ac3f1d793caba6494d27df6f0b9ba2eee8606d5/docs/ASSEMBLY-KR.md</x:v>
      </x:c>
    </x:row>
    <x:row r="111" ht="78" customHeight="1">
      <x:c r="A111" s="4" t="str">
        <x:v>T06</x:v>
      </x:c>
      <x:c r="B111" s="4" t="str">
        <x:v>인두·납땜 안전 거치대</x:v>
      </x:c>
      <x:c r="C111" s="4" t="str">
        <x:v>공구</x:v>
      </x:c>
      <x:c r="D111" s="4" t="n">
        <x:v>1</x:v>
      </x:c>
      <x:c r="E111" s="4" t="str">
        <x:v>헤더 조립 및 환기</x:v>
      </x:c>
      <x:c r="F111" s="4" t="str">
        <x:v>사양·조달 보류</x:v>
      </x:c>
      <x:c r="G111" s="4" t="str">
        <x:v>기존 실험실 장비 우선 사용. 카트 실장 부품으로 합산하지 않음.</x:v>
      </x:c>
      <x:c r="H111" s="4" t="str">
        <x:v>https://github.com/JTech-CO/Smart-Cart-Wiring/blob/3ac3f1d793caba6494d27df6f0b9ba2eee8606d5/docs/ASSEMBLY-KR.md</x:v>
      </x:c>
    </x:row>
    <x:row r="112" ht="78" customHeight="1">
      <x:c r="A112" s="4" t="str">
        <x:v>T07</x:v>
      </x:c>
      <x:c r="B112" s="4" t="str">
        <x:v>오실로스코프·차동 측정 구성</x:v>
      </x:c>
      <x:c r="C112" s="4" t="str">
        <x:v>공구</x:v>
      </x:c>
      <x:c r="D112" s="4" t="n">
        <x:v>1</x:v>
      </x:c>
      <x:c r="E112" s="4" t="str">
        <x:v>H브리지 접지단락 방지; 적합 정격</x:v>
      </x:c>
      <x:c r="F112" s="4" t="str">
        <x:v>사양·조달 보류</x:v>
      </x:c>
      <x:c r="G112" s="4" t="str">
        <x:v>기존 실험실 장비 우선 사용. 카트 실장 부품으로 합산하지 않음.</x:v>
      </x:c>
      <x:c r="H112" s="4" t="str">
        <x:v>https://github.com/JTech-CO/Smart-Cart-Wiring/blob/3ac3f1d793caba6494d27df6f0b9ba2eee8606d5/docs/ASSEMBLY-KR.md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2bc76c9d9d754b7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9" hidden="0" customWidth="1"/>
    <x:col min="3" max="3" width="26" hidden="0" customWidth="1"/>
    <x:col min="4" max="4" width="42" hidden="0" customWidth="1"/>
    <x:col min="5" max="5" width="60" hidden="0" customWidth="1"/>
    <x:col min="6" max="6" width="15" hidden="0" customWidth="1"/>
    <x:col min="7" max="7" width="68" hidden="0" customWidth="1"/>
  </x:cols>
  <x:sheetData>
    <x:row r="1" ht="22" customHeight="1">
      <x:c r="A1" s="9" t="str">
        <x:v>출처·스냅샷·검증 범위</x:v>
      </x:c>
      <x:c r="B1" s="9"/>
      <x:c r="C1" s="9"/>
      <x:c r="D1" s="9"/>
      <x:c r="E1" s="9"/>
      <x:c r="F1" s="9"/>
      <x:c r="G1" s="9"/>
    </x:row>
    <x:row r="2" ht="22" customHeight="1">
      <x:c r="A2" s="9"/>
      <x:c r="B2" s="9"/>
      <x:c r="C2" s="9"/>
      <x:c r="D2" s="9"/>
      <x:c r="E2" s="9"/>
      <x:c r="F2" s="9"/>
      <x:c r="G2" s="9"/>
    </x:row>
    <x:row r="3" ht="32" customHeight="1">
      <x:c r="A3" s="12" t="str">
        <x:v>모든 구매 링크는 상품 URL입니다. 특정 판매처별 검색 결과를 구매 가능 확정 링크로 바꾸지 않았습니다.</x:v>
      </x:c>
      <x:c r="B3" s="12"/>
      <x:c r="C3" s="12"/>
      <x:c r="D3" s="12"/>
      <x:c r="E3" s="12"/>
      <x:c r="F3" s="12"/>
      <x:c r="G3" s="12"/>
    </x:row>
    <x:row r="4">
      <x:c r="A4" s="4"/>
      <x:c r="B4" s="4"/>
      <x:c r="C4" s="4"/>
      <x:c r="D4" s="4"/>
      <x:c r="E4" s="4"/>
      <x:c r="F4" s="4"/>
      <x:c r="G4" s="4"/>
    </x:row>
    <x:row r="5" ht="34" customHeight="1">
      <x:c r="A5" s="15" t="str">
        <x:v>근거 ID</x:v>
      </x:c>
      <x:c r="B5" s="15" t="str">
        <x:v>대상</x:v>
      </x:c>
      <x:c r="C5" s="15" t="str">
        <x:v>근거 종류</x:v>
      </x:c>
      <x:c r="D5" s="15" t="str">
        <x:v>값 / 식별자</x:v>
      </x:c>
      <x:c r="E5" s="15" t="str">
        <x:v>출처 URL</x:v>
      </x:c>
      <x:c r="F5" s="15" t="str">
        <x:v>확인일</x:v>
      </x:c>
      <x:c r="G5" s="15" t="str">
        <x:v>제약 / 검증 내용</x:v>
      </x:c>
    </x:row>
    <x:row r="6" ht="74" customHeight="1">
      <x:c r="A6" s="4" t="str">
        <x:v>REPO</x:v>
      </x:c>
      <x:c r="B6" s="4" t="str">
        <x:v>Smart-Cart</x:v>
      </x:c>
      <x:c r="C6" s="4" t="str">
        <x:v>고정 커밋</x:v>
      </x:c>
      <x:c r="D6" s="4" t="str">
        <x:v>2b4b8fea6909e4f76b4a52b02c5075c3f478097b</x:v>
      </x:c>
      <x:c r="E6" s="4" t="str">
        <x:v>https://github.com/JTech-CO/Smart-Cart/tree/2b4b8fea6909e4f76b4a52b02c5075c3f478097b</x:v>
      </x:c>
      <x:c r="F6" s="4" t="str">
        <x:v>2026-09-13</x:v>
      </x:c>
      <x:c r="G6" s="4" t="str">
        <x:v>브랜치 최신값을 조회한 뒤 해당 커밋으로 고정</x:v>
      </x:c>
    </x:row>
    <x:row r="7" ht="74" customHeight="1">
      <x:c r="A7" s="4" t="str">
        <x:v>REPO</x:v>
      </x:c>
      <x:c r="B7" s="4" t="str">
        <x:v>Smart-Cart-Wiring</x:v>
      </x:c>
      <x:c r="C7" s="4" t="str">
        <x:v>고정 커밋</x:v>
      </x:c>
      <x:c r="D7" s="4" t="str">
        <x:v>3ac3f1d793caba6494d27df6f0b9ba2eee8606d5</x:v>
      </x:c>
      <x:c r="E7" s="4" t="str">
        <x:v>https://github.com/JTech-CO/Smart-Cart-Wiring/tree/3ac3f1d793caba6494d27df6f0b9ba2eee8606d5</x:v>
      </x:c>
      <x:c r="F7" s="4" t="str">
        <x:v>2026-09-13</x:v>
      </x:c>
      <x:c r="G7" s="4" t="str">
        <x:v>브랜치 최신값을 조회한 뒤 해당 커밋으로 고정</x:v>
      </x:c>
    </x:row>
    <x:row r="8" ht="74" customHeight="1">
      <x:c r="A8" s="4" t="str">
        <x:v>BLOB</x:v>
      </x:c>
      <x:c r="B8" s="4" t="str">
        <x:v>data/BOM.csv</x:v>
      </x:c>
      <x:c r="C8" s="4" t="str">
        <x:v>Git blob SHA-1</x:v>
      </x:c>
      <x:c r="D8" s="4" t="str">
        <x:v>022860dd75370a7a2f05a5a5305dc1bc6b3b5950</x:v>
      </x:c>
      <x:c r="E8" s="4" t="str">
        <x:v>https://github.com/JTech-CO/Smart-Cart-Wiring/blob/3ac3f1d793caba6494d27df6f0b9ba2eee8606d5/data/BOM.csv</x:v>
      </x:c>
      <x:c r="F8" s="4" t="str">
        <x:v>2026-09-13</x:v>
      </x:c>
      <x:c r="G8" s="4" t="str">
        <x:v>로컬 파일 바이트의 Git blob SHA-1이 저장소 트리와 일치</x:v>
      </x:c>
    </x:row>
    <x:row r="9" ht="74" customHeight="1">
      <x:c r="A9" s="4" t="str">
        <x:v>BLOB</x:v>
      </x:c>
      <x:c r="B9" s="4" t="str">
        <x:v>data/design.json</x:v>
      </x:c>
      <x:c r="C9" s="4" t="str">
        <x:v>Git blob SHA-1</x:v>
      </x:c>
      <x:c r="D9" s="4" t="str">
        <x:v>30043a9c04fe6f62fc82139591e0b5cc0c3bf098</x:v>
      </x:c>
      <x:c r="E9" s="4" t="str">
        <x:v>https://github.com/JTech-CO/Smart-Cart-Wiring/blob/3ac3f1d793caba6494d27df6f0b9ba2eee8606d5/data/design.json</x:v>
      </x:c>
      <x:c r="F9" s="4" t="str">
        <x:v>2026-09-13</x:v>
      </x:c>
      <x:c r="G9" s="4" t="str">
        <x:v>로컬 파일 바이트의 Git blob SHA-1이 저장소 트리와 일치</x:v>
      </x:c>
    </x:row>
    <x:row r="10" ht="74" customHeight="1">
      <x:c r="A10" s="4" t="str">
        <x:v>BLOB</x:v>
      </x:c>
      <x:c r="B10" s="4" t="str">
        <x:v>data/breadboard-contacts.csv</x:v>
      </x:c>
      <x:c r="C10" s="4" t="str">
        <x:v>Git blob SHA-1</x:v>
      </x:c>
      <x:c r="D10" s="4" t="str">
        <x:v>752292e94adc6d0f940d02543798550365dec3c0</x:v>
      </x:c>
      <x:c r="E10" s="4" t="str">
        <x:v>https://github.com/JTech-CO/Smart-Cart-Wiring/blob/3ac3f1d793caba6494d27df6f0b9ba2eee8606d5/data/breadboard-contacts.csv</x:v>
      </x:c>
      <x:c r="F10" s="4" t="str">
        <x:v>2026-09-13</x:v>
      </x:c>
      <x:c r="G10" s="4" t="str">
        <x:v>로컬 파일 바이트의 Git blob SHA-1이 저장소 트리와 일치</x:v>
      </x:c>
    </x:row>
    <x:row r="11" ht="74" customHeight="1">
      <x:c r="A11" s="4" t="str">
        <x:v>BLOB</x:v>
      </x:c>
      <x:c r="B11" s="4" t="str">
        <x:v>data/terminal-netlist.csv</x:v>
      </x:c>
      <x:c r="C11" s="4" t="str">
        <x:v>Git blob SHA-1</x:v>
      </x:c>
      <x:c r="D11" s="4" t="str">
        <x:v>82aa0c9d7bdfab0655e8031834284ea720d7a012</x:v>
      </x:c>
      <x:c r="E11" s="4" t="str">
        <x:v>https://github.com/JTech-CO/Smart-Cart-Wiring/blob/3ac3f1d793caba6494d27df6f0b9ba2eee8606d5/data/terminal-netlist.csv</x:v>
      </x:c>
      <x:c r="F11" s="4" t="str">
        <x:v>2026-09-13</x:v>
      </x:c>
      <x:c r="G11" s="4" t="str">
        <x:v>로컬 파일 바이트의 Git blob SHA-1이 저장소 트리와 일치</x:v>
      </x:c>
    </x:row>
    <x:row r="12" ht="74" customHeight="1">
      <x:c r="A12" s="4" t="str">
        <x:v>S02</x:v>
      </x:c>
      <x:c r="B12" s="4" t="str">
        <x:v>Pololu G2 SMC user guide</x:v>
      </x:c>
      <x:c r="C12" s="4" t="str">
        <x:v>제조사 / 원본 근거</x:v>
      </x:c>
      <x:c r="D12" s="4" t="str"/>
      <x:c r="E12" s="4" t="str">
        <x:v>https://www.pololu.com/docs/0J77/all</x:v>
      </x:c>
      <x:c r="F12" s="4" t="str">
        <x:v>2026-09-13</x:v>
      </x:c>
      <x:c r="G12" s="4" t="str">
        <x:v>지정 모델의 핀·전원 조건. 실제 구매 모델과 다시 대조</x:v>
      </x:c>
    </x:row>
    <x:row r="13" ht="74" customHeight="1">
      <x:c r="A13" s="4" t="str">
        <x:v>S03</x:v>
      </x:c>
      <x:c r="B13" s="4" t="str">
        <x:v>ESP32-DevKitC V4 power and J2/J3 pin tables</x:v>
      </x:c>
      <x:c r="C13" s="4" t="str">
        <x:v>제조사 / 원본 근거</x:v>
      </x:c>
      <x:c r="D13" s="4" t="str"/>
      <x:c r="E13" s="4" t="str">
        <x:v>https://docs.espressif.com/projects/esp-dev-kits/en/latest/esp32/esp32-devkitc/user_guide.html</x:v>
      </x:c>
      <x:c r="F13" s="4" t="str">
        <x:v>2026-09-13</x:v>
      </x:c>
      <x:c r="G13" s="4" t="str">
        <x:v>지정 모델의 핀·전원 조건. 실제 구매 모델과 다시 대조</x:v>
      </x:c>
    </x:row>
    <x:row r="14" ht="74" customHeight="1">
      <x:c r="A14" s="4" t="str">
        <x:v>S04</x:v>
      </x:c>
      <x:c r="B14" s="4" t="str">
        <x:v>Adafruit BNO085 pinouts and SPI mode</x:v>
      </x:c>
      <x:c r="C14" s="4" t="str">
        <x:v>제조사 / 원본 근거</x:v>
      </x:c>
      <x:c r="D14" s="4" t="str"/>
      <x:c r="E14" s="4" t="str">
        <x:v>https://learn.adafruit.com/adafruit-9-dof-orientation-imu-fusion-breakout-bno085/pinouts</x:v>
      </x:c>
      <x:c r="F14" s="4" t="str">
        <x:v>2026-09-13</x:v>
      </x:c>
      <x:c r="G14" s="4" t="str">
        <x:v>지정 모델의 핀·전원 조건. 실제 구매 모델과 다시 대조</x:v>
      </x:c>
    </x:row>
    <x:row r="15" ht="74" customHeight="1">
      <x:c r="A15" s="4" t="str">
        <x:v>S05</x:v>
      </x:c>
      <x:c r="B15" s="4" t="str">
        <x:v>Pololu VL53L1X carrier #3415</x:v>
      </x:c>
      <x:c r="C15" s="4" t="str">
        <x:v>제조사 / 원본 근거</x:v>
      </x:c>
      <x:c r="D15" s="4" t="str"/>
      <x:c r="E15" s="4" t="str">
        <x:v>https://www.pololu.com/product/3415</x:v>
      </x:c>
      <x:c r="F15" s="4" t="str">
        <x:v>2026-09-13</x:v>
      </x:c>
      <x:c r="G15" s="4" t="str">
        <x:v>지정 모델의 핀·전원 조건. 실제 구매 모델과 다시 대조</x:v>
      </x:c>
    </x:row>
    <x:row r="16" ht="74" customHeight="1">
      <x:c r="A16" s="4" t="str">
        <x:v>S06</x:v>
      </x:c>
      <x:c r="B16" s="4" t="str">
        <x:v>Ai-Thinker BU04-Kit specification v1.1.0, p9 USB port</x:v>
      </x:c>
      <x:c r="C16" s="4" t="str">
        <x:v>제조사 / 원본 근거</x:v>
      </x:c>
      <x:c r="D16" s="4" t="str"/>
      <x:c r="E16" s="4" t="str">
        <x:v>https://en.ai-thinker.com/Uploads/file/20241018/20241018150326_27432.pdf</x:v>
      </x:c>
      <x:c r="F16" s="4" t="str">
        <x:v>2026-09-13</x:v>
      </x:c>
      <x:c r="G16" s="4" t="str">
        <x:v>지정 모델의 핀·전원 조건. 실제 구매 모델과 다시 대조</x:v>
      </x:c>
    </x:row>
    <x:row r="17" ht="74" customHeight="1">
      <x:c r="A17" s="4" t="str">
        <x:v>S07</x:v>
      </x:c>
      <x:c r="B17" s="4" t="str">
        <x:v>TI SN74AHCT125 datasheet</x:v>
      </x:c>
      <x:c r="C17" s="4" t="str">
        <x:v>제조사 / 원본 근거</x:v>
      </x:c>
      <x:c r="D17" s="4" t="str"/>
      <x:c r="E17" s="4" t="str">
        <x:v>https://www.ti.com/lit/ds/symlink/sn74ahct125.pdf</x:v>
      </x:c>
      <x:c r="F17" s="4" t="str">
        <x:v>2026-09-13</x:v>
      </x:c>
      <x:c r="G17" s="4" t="str">
        <x:v>지정 모델의 핀·전원 조건. 실제 구매 모델과 다시 대조</x:v>
      </x:c>
    </x:row>
    <x:row r="18" ht="74" customHeight="1">
      <x:c r="A18" s="4" t="str">
        <x:v>S11</x:v>
      </x:c>
      <x:c r="B18" s="4" t="str">
        <x:v>Infineon BTS7960 operating voltage</x:v>
      </x:c>
      <x:c r="C18" s="4" t="str">
        <x:v>제조사 / 원본 근거</x:v>
      </x:c>
      <x:c r="D18" s="4" t="str"/>
      <x:c r="E18" s="4" t="str">
        <x:v>https://www.infineon.com/dgdl/BTS7960_Datasheet.pdf</x:v>
      </x:c>
      <x:c r="F18" s="4" t="str">
        <x:v>2026-09-13</x:v>
      </x:c>
      <x:c r="G18" s="4" t="str">
        <x:v>지정 모델의 핀·전원 조건. 실제 구매 모델과 다시 대조</x:v>
      </x:c>
    </x:row>
    <x:row r="19" ht="74" customHeight="1">
      <x:c r="A19" s="4" t="str">
        <x:v>S12</x:v>
      </x:c>
      <x:c r="B19" s="4" t="str">
        <x:v>SLAMTEC C1 datasheet</x:v>
      </x:c>
      <x:c r="C19" s="4" t="str">
        <x:v>제조사 / 원본 근거</x:v>
      </x:c>
      <x:c r="D19" s="4" t="str"/>
      <x:c r="E19" s="4" t="str">
        <x:v>https://d229kd5ey79jzj.cloudfront.net/3157/SLAMTEC_rplidar_datasheet_C1_v1.0_en.pdf</x:v>
      </x:c>
      <x:c r="F19" s="4" t="str">
        <x:v>2026-09-13</x:v>
      </x:c>
      <x:c r="G19" s="4" t="str">
        <x:v>지정 모델의 핀·전원 조건. 실제 구매 모델과 다시 대조</x:v>
      </x:c>
    </x:row>
    <x:row r="20" ht="74" customHeight="1">
      <x:c r="A20" s="4" t="str">
        <x:v>P01</x:v>
      </x:c>
      <x:c r="B20" s="4" t="str">
        <x:v>로봇사이언스 / BNO085 Adafruit #4754</x:v>
      </x:c>
      <x:c r="C20" s="4" t="str">
        <x:v>국내 구매 근거 A</x:v>
      </x:c>
      <x:c r="D20" s="4" t="str">
        <x:v>국내재고 16</x:v>
      </x:c>
      <x:c r="E20" s="4" t="str">
        <x:v>https://robotscience.kr/goods/view?no=15723</x:v>
      </x:c>
      <x:c r="F20" s="4" t="str">
        <x:v>2026-09-13</x:v>
      </x:c>
      <x:c r="G20" s="4" t="str">
        <x:v>상품 페이지 국내재고 16개 표시; 매장픽업 제공; 국내 수량만 주문. 부족분 해외 조달/통관 전환을 수락하지 말 것.</x:v>
      </x:c>
    </x:row>
    <x:row r="21" ht="74" customHeight="1">
      <x:c r="A21" s="4" t="str">
        <x:v>P02</x:v>
      </x:c>
      <x:c r="B21" s="4" t="str">
        <x:v>로봇사이언스 / VL53L1X Pololu #3415</x:v>
      </x:c>
      <x:c r="C21" s="4" t="str">
        <x:v>국내 구매 근거 A</x:v>
      </x:c>
      <x:c r="D21" s="4" t="str">
        <x:v>국내재고 4</x:v>
      </x:c>
      <x:c r="E21" s="4" t="str">
        <x:v>https://robotscience.kr/goods/view?no=19458</x:v>
      </x:c>
      <x:c r="F21" s="4" t="str">
        <x:v>2026-09-13</x:v>
      </x:c>
      <x:c r="G21" s="4" t="str">
        <x:v>상품 페이지 국내재고 4개 표시; 매장픽업 제공; 통합 필요 2 + 예비 1 = 3개. 페이지 수량은 예약·실시간 확정이 아님.</x:v>
      </x:c>
    </x:row>
    <x:row r="22" ht="74" customHeight="1">
      <x:c r="A22" s="4" t="str">
        <x:v>P03</x:v>
      </x:c>
      <x:c r="B22" s="4" t="str">
        <x:v>로봇사이언스 / PCA9548 I2C 멀티플렉서 Adafruit #5626</x:v>
      </x:c>
      <x:c r="C22" s="4" t="str">
        <x:v>국내 구매 근거 A</x:v>
      </x:c>
      <x:c r="D22" s="4" t="str">
        <x:v>국내재고 9</x:v>
      </x:c>
      <x:c r="E22" s="4" t="str">
        <x:v>https://robotscience.kr/goods/view?no=20126</x:v>
      </x:c>
      <x:c r="F22" s="4" t="str">
        <x:v>2026-09-13</x:v>
      </x:c>
      <x:c r="G22" s="4" t="str">
        <x:v>상품 페이지 국내재고 9개 표시; 신규 ToF 보완안. 하위 JST-SH 4핀 케이블은 별도. 회로·소프트웨어 변경 후 채택.</x:v>
      </x:c>
    </x:row>
    <x:row r="23" ht="74" customHeight="1">
      <x:c r="A23" s="4" t="str">
        <x:v>P04</x:v>
      </x:c>
      <x:c r="B23" s="4" t="str">
        <x:v>에듀이노 / SLAMTEC RPLIDAR C1 / P-T410</x:v>
      </x:c>
      <x:c r="C23" s="4" t="str">
        <x:v>국내 구매 근거 B</x:v>
      </x:c>
      <x:c r="D23" s="4" t="str">
        <x:v>개수 비공개</x:v>
      </x:c>
      <x:c r="E23" s="4" t="str">
        <x:v>https://eduino.kr/product/detail.html?product_no=9805</x:v>
      </x:c>
      <x:c r="F23" s="4" t="str">
        <x:v>2026-09-13</x:v>
      </x:c>
      <x:c r="G23" s="4" t="str">
        <x:v>국내배송·전국 택배·배송 1~2일 안내; 재고 개수 비공개. 정품 USB 어댑터/센서 하네스 동봉 수량과 국내 보유분 출고를 확인.</x:v>
      </x:c>
    </x:row>
    <x:row r="24" ht="74" customHeight="1">
      <x:c r="A24" s="4" t="str">
        <x:v>P05</x:v>
      </x:c>
      <x:c r="B24" s="4" t="str">
        <x:v>제노몰 / 400접점 브레드보드 HCM1203</x:v>
      </x:c>
      <x:c r="C24" s="4" t="str">
        <x:v>국내 구매 근거 B</x:v>
      </x:c>
      <x:c r="D24" s="4" t="str">
        <x:v>개수 비공개</x:v>
      </x:c>
      <x:c r="E24" s="4" t="str">
        <x:v>https://www.jenomall.com/goods/goods_view.php?goodsNo=1000012080</x:v>
      </x:c>
      <x:c r="F24" s="4" t="str">
        <x:v>2026-09-13</x:v>
      </x:c>
      <x:c r="G24" s="4" t="str">
        <x:v>국내 매장 방문수령 및 평일 14시 이전 출고 안내; 품절 예외; 실물 30열 본체와 각 25접점 전원 레일의 도통을 검사. 차량 최종 배선용 아님.</x:v>
      </x:c>
    </x:row>
    <x:row r="25" ht="74" customHeight="1">
      <x:c r="A25" s="4" t="str">
        <x:v>P06</x:v>
      </x:c>
      <x:c r="B25" s="4" t="str">
        <x:v>제노몰 / M-F 점퍼 20cm / 40가닥 HCM2701</x:v>
      </x:c>
      <x:c r="C25" s="4" t="str">
        <x:v>국내 구매 근거 B</x:v>
      </x:c>
      <x:c r="D25" s="4" t="str">
        <x:v>개수 비공개</x:v>
      </x:c>
      <x:c r="E25" s="4" t="str">
        <x:v>https://www.jenomall.com/goods/goods_view.php?goodsNo=1000012459</x:v>
      </x:c>
      <x:c r="F25" s="4" t="str">
        <x:v>2026-09-13</x:v>
      </x:c>
      <x:c r="G25" s="4" t="str">
        <x:v>국내 방문수령·평일 출고 안내; 재고 개수 비공개; 1묶음은 40가닥. 20cm는 책상 위 배치용; 카트 센서까지 길이 보장 안 됨.</x:v>
      </x:c>
    </x:row>
    <x:row r="26" ht="74" customHeight="1">
      <x:c r="A26" s="4" t="str">
        <x:v>P07</x:v>
      </x:c>
      <x:c r="B26" s="4" t="str">
        <x:v>제노몰 / M-M 점퍼 20cm / 40가닥 HCM2702</x:v>
      </x:c>
      <x:c r="C26" s="4" t="str">
        <x:v>국내 구매 근거 B</x:v>
      </x:c>
      <x:c r="D26" s="4" t="str">
        <x:v>개수 비공개</x:v>
      </x:c>
      <x:c r="E26" s="4" t="str">
        <x:v>https://www.jenomall.com/goods/goods_view.php?goodsNo=1000012462</x:v>
      </x:c>
      <x:c r="F26" s="4" t="str">
        <x:v>2026-09-13</x:v>
      </x:c>
      <x:c r="G26" s="4" t="str">
        <x:v>국내 방문수령·평일 출고 안내; 재고 개수 비공개; 원본 내부 점퍼 9개. 묶음 구매 후 필요한 개수만 분리.</x:v>
      </x:c>
    </x:row>
    <x:row r="27" ht="74" customHeight="1">
      <x:c r="A27" s="4" t="str">
        <x:v>P08</x:v>
      </x:c>
      <x:c r="B27" s="4" t="str">
        <x:v>제노몰 / F-F 점퍼 20cm / 40가닥 HCM2703</x:v>
      </x:c>
      <x:c r="C27" s="4" t="str">
        <x:v>국내 구매 근거 B</x:v>
      </x:c>
      <x:c r="D27" s="4" t="str">
        <x:v>개수 비공개</x:v>
      </x:c>
      <x:c r="E27" s="4" t="str">
        <x:v>https://www.jenomall.com/goods/goods_view.php?goodsNo=1000012463</x:v>
      </x:c>
      <x:c r="F27" s="4" t="str">
        <x:v>2026-09-13</x:v>
      </x:c>
      <x:c r="G27" s="4" t="str">
        <x:v>국내 방문수령·평일 출고 안내; 재고 개수 비공개; 최종 잠금형 차량 하네스의 대체품으로 사용하지 않음.</x:v>
      </x:c>
    </x:row>
    <x:row r="28" ht="74" customHeight="1">
      <x:c r="A28" s="4" t="str">
        <x:v>P09</x:v>
      </x:c>
      <x:c r="B28" s="4" t="str">
        <x:v>에듀이노 / 1kΩ 0.25W 5% 저항 10개</x:v>
      </x:c>
      <x:c r="C28" s="4" t="str">
        <x:v>국내 구매 근거 B</x:v>
      </x:c>
      <x:c r="D28" s="4" t="str">
        <x:v>개수 비공개</x:v>
      </x:c>
      <x:c r="E28" s="4" t="str">
        <x:v>https://eduino.kr/product/detail.html?product_no=349</x:v>
      </x:c>
      <x:c r="F28" s="4" t="str">
        <x:v>2026-09-13</x:v>
      </x:c>
      <x:c r="G28" s="4" t="str">
        <x:v>국내배송·택배·1~2일 안내; R1/R2용 축형 리드 저항. 10개 1봉.</x:v>
      </x:c>
    </x:row>
    <x:row r="29" ht="74" customHeight="1">
      <x:c r="A29" s="4" t="str">
        <x:v>P10</x:v>
      </x:c>
      <x:c r="B29" s="4" t="str">
        <x:v>에듀이노 / 220Ω 0.25W 5% 저항 10개</x:v>
      </x:c>
      <x:c r="C29" s="4" t="str">
        <x:v>국내 구매 근거 B</x:v>
      </x:c>
      <x:c r="D29" s="4" t="str">
        <x:v>개수 비공개</x:v>
      </x:c>
      <x:c r="E29" s="4" t="str">
        <x:v>https://eduino.kr/product/detail.html?product_no=348</x:v>
      </x:c>
      <x:c r="F29" s="4" t="str">
        <x:v>2026-09-13</x:v>
      </x:c>
      <x:c r="G29" s="4" t="str">
        <x:v>국내배송·택배·1~2일 안내; 조향 옵션 R3/R4. 10개 1봉.</x:v>
      </x:c>
    </x:row>
    <x:row r="30" ht="74" customHeight="1">
      <x:c r="A30" s="4" t="str">
        <x:v>P11</x:v>
      </x:c>
      <x:c r="B30" s="4" t="str">
        <x:v>에듀이노 / 10kΩ 0.25W 5% 저항 10개</x:v>
      </x:c>
      <x:c r="C30" s="4" t="str">
        <x:v>국내 구매 근거 B</x:v>
      </x:c>
      <x:c r="D30" s="4" t="str">
        <x:v>개수 비공개</x:v>
      </x:c>
      <x:c r="E30" s="4" t="str">
        <x:v>https://eduino.kr/product/detail.html?product_no=588</x:v>
      </x:c>
      <x:c r="F30" s="4" t="str">
        <x:v>2026-09-13</x:v>
      </x:c>
      <x:c r="G30" s="4" t="str">
        <x:v>국내배송·택배·1~2일 안내; 조향 옵션 R5/R6. 10개 1봉.</x:v>
      </x:c>
    </x:row>
    <x:row r="31" ht="74" customHeight="1">
      <x:c r="A31" s="4" t="str">
        <x:v>P12</x:v>
      </x:c>
      <x:c r="B31" s="4" t="str">
        <x:v>에듀이노 / USB 2.0 C타입 1m 데이터+충전 E-86</x:v>
      </x:c>
      <x:c r="C31" s="4" t="str">
        <x:v>국내 구매 근거 B</x:v>
      </x:c>
      <x:c r="D31" s="4" t="str">
        <x:v>개수 비공개</x:v>
      </x:c>
      <x:c r="E31" s="4" t="str">
        <x:v>https://eduino.kr/product/detail.html?product_no=10002</x:v>
      </x:c>
      <x:c r="F31" s="4" t="str">
        <x:v>2026-09-13</x:v>
      </x:c>
      <x:c r="G31" s="4" t="str">
        <x:v>국내배송·택배·1~2일 안내; 주문 전 호스트 쪽 A 수단자 확인. UWB와 태그용; SBC 3A 급전선으로 일괄 승인하지 않음.</x:v>
      </x:c>
    </x:row>
    <x:row r="32" ht="74" customHeight="1">
      <x:c r="A32" s="4" t="str">
        <x:v>P13</x:v>
      </x:c>
      <x:c r="B32" s="4" t="str">
        <x:v>에듀이노 / Micro USB 데이터 케이블 50cm</x:v>
      </x:c>
      <x:c r="C32" s="4" t="str">
        <x:v>국내 구매 근거 B</x:v>
      </x:c>
      <x:c r="D32" s="4" t="str">
        <x:v>개수 비공개</x:v>
      </x:c>
      <x:c r="E32" s="4" t="str">
        <x:v>https://eduino.kr/product/detail.html?product_no=97</x:v>
      </x:c>
      <x:c r="F32" s="4" t="str">
        <x:v>2026-09-13</x:v>
      </x:c>
      <x:c r="G32" s="4" t="str">
        <x:v>국내배송·택배 안내; ESP32-DevKitC V4 micro-B와 호스트 A 확인. 충전 전용 제품 제외.</x:v>
      </x:c>
    </x:row>
    <x:row r="33" ht="74" customHeight="1">
      <x:c r="A33" s="4" t="str">
        <x:v>P14</x:v>
      </x:c>
      <x:c r="B33" s="4" t="str">
        <x:v>에듀이노 / 6mm 스파이럴 케이블 랩 2m</x:v>
      </x:c>
      <x:c r="C33" s="4" t="str">
        <x:v>국내 구매 근거 B</x:v>
      </x:c>
      <x:c r="D33" s="4" t="str">
        <x:v>개수 비공개</x:v>
      </x:c>
      <x:c r="E33" s="4" t="str">
        <x:v>https://eduino.kr/product/detail.html?product_no=5881</x:v>
      </x:c>
      <x:c r="F33" s="4" t="str">
        <x:v>2026-09-13</x:v>
      </x:c>
      <x:c r="G33" s="4" t="str">
        <x:v>국내배송·택배 안내; 2m당 표시가. 지름 6mm는 센서 소선 묶음용 후보; 실제 번들 지름 확인.</x:v>
      </x:c>
    </x:row>
    <x:row r="34" ht="74" customHeight="1">
      <x:c r="A34" s="4" t="str">
        <x:v>P15</x:v>
      </x:c>
      <x:c r="B34" s="4" t="str">
        <x:v>에듀이노 / 브레드보드 배선용 단선 22AWG / 1m</x:v>
      </x:c>
      <x:c r="C34" s="4" t="str">
        <x:v>국내 구매 근거 B</x:v>
      </x:c>
      <x:c r="D34" s="4" t="str">
        <x:v>개수 비공개</x:v>
      </x:c>
      <x:c r="E34" s="4" t="str">
        <x:v>https://eduino.kr/product/detail.html?product_no=257</x:v>
      </x:c>
      <x:c r="F34" s="4" t="str">
        <x:v>2026-09-13</x:v>
      </x:c>
      <x:c r="G34" s="4" t="str">
        <x:v>국내배송·택배 안내; 벤치 저전류용 추가 재료. 색상 지정. 배터리·모터 및 진동하는 차량 전력선에 사용 금지.</x:v>
      </x:c>
    </x:row>
    <x:row r="35" ht="74" customHeight="1">
      <x:c r="A35" s="4" t="str">
        <x:v>P16</x:v>
      </x:c>
      <x:c r="B35" s="4" t="str">
        <x:v>에듀이노 / 마이크로 SD 카드 리더기</x:v>
      </x:c>
      <x:c r="C35" s="4" t="str">
        <x:v>국내 구매 근거 B</x:v>
      </x:c>
      <x:c r="D35" s="4" t="str">
        <x:v>개수 비공개</x:v>
      </x:c>
      <x:c r="E35" s="4" t="str">
        <x:v>https://eduino.kr/product/detail.html?product_no=9423</x:v>
      </x:c>
      <x:c r="F35" s="4" t="str">
        <x:v>2026-09-13</x:v>
      </x:c>
      <x:c r="G35" s="4" t="str">
        <x:v>국내배송·택배 안내; 벤치 공구. SD 메모리카드가 포함된 것으로 계산하지 않음.</x:v>
      </x:c>
    </x:row>
    <x:row r="36" ht="74" customHeight="1">
      <x:c r="A36" s="4" t="str">
        <x:v>RULE</x:v>
      </x:c>
      <x:c r="B36" s="4" t="str">
        <x:v>가격 범위</x:v>
      </x:c>
      <x:c r="C36" s="4" t="str">
        <x:v>표시가</x:v>
      </x:c>
      <x:c r="D36" s="4" t="str">
        <x:v>배송비 미포함</x:v>
      </x:c>
      <x:c r="E36" s="4" t="str"/>
      <x:c r="F36" s="4" t="str">
        <x:v>2026-09-13</x:v>
      </x:c>
      <x:c r="G36" s="4" t="str">
        <x:v>VAT 명시가 없는 판매처는 결제 전 확인. 부분 표시가 소계는 완성품 총예산이 아님.</x:v>
      </x:c>
    </x:row>
    <x:row r="37" ht="74" customHeight="1">
      <x:c r="A37" s="4" t="str">
        <x:v>RULE</x:v>
      </x:c>
      <x:c r="B37" s="4" t="str">
        <x:v>기구 정확도</x:v>
      </x:c>
      <x:c r="C37" s="4" t="str">
        <x:v>미정 유지</x:v>
      </x:c>
      <x:c r="D37" s="4" t="str">
        <x:v>수량/길이 미정 15행</x:v>
      </x:c>
      <x:c r="E37" s="4" t="str"/>
      <x:c r="F37" s="4" t="str">
        <x:v>2026-09-13</x:v>
      </x:c>
      <x:c r="G37" s="4" t="str">
        <x:v>실측 없는 볼트 수·전선 길이·규격은 구매 승인하지 않음.</x:v>
      </x:c>
    </x:row>
    <x:row r="38" ht="74" customHeight="1">
      <x:c r="A38" s="4" t="str">
        <x:v>RULE</x:v>
      </x:c>
      <x:c r="B38" s="4" t="str">
        <x:v>해외 배송 제외</x:v>
      </x:c>
      <x:c r="C38" s="4" t="str">
        <x:v>조달 제한</x:v>
      </x:c>
      <x:c r="D38" s="4" t="str">
        <x:v>해외창고/주문수입 제외</x:v>
      </x:c>
      <x:c r="E38" s="4" t="str"/>
      <x:c r="F38" s="4" t="str">
        <x:v>2026-09-13</x:v>
      </x:c>
      <x:c r="G38" s="4" t="str">
        <x:v>국내 재고 부족분을 자동 해외 발주로 넘기지 말 것. 국내 제조와 국내 출고를 구분.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ed80d202f6774a7e"/>
  </x:tableParts>
</x:worksheet>
</file>